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35f495c5a636e311/Desktop/"/>
    </mc:Choice>
  </mc:AlternateContent>
  <xr:revisionPtr revIDLastSave="1773" documentId="11_F25DC773A252ABDACC104849A99A7BE05BDE58EF" xr6:coauthVersionLast="47" xr6:coauthVersionMax="47" xr10:uidLastSave="{C3874804-82F7-4BE0-9FA4-D2432D5A0895}"/>
  <bookViews>
    <workbookView xWindow="-108" yWindow="-108" windowWidth="23256" windowHeight="12456" xr2:uid="{00000000-000D-0000-FFFF-FFFF00000000}"/>
  </bookViews>
  <sheets>
    <sheet name="📊 Dashboa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<sst xmlns="http://schemas.openxmlformats.org/spreadsheetml/2006/main" count="107" uniqueCount="97">
  <si>
    <t>SPINNAKER ANALYTICS</t>
  </si>
  <si>
    <t>IPO Valuation and Prospectus Analysis — Investment Thesis Workbook</t>
  </si>
  <si>
    <t>FINANCIAL PERFORMANCE (FY 24 - FY 26)</t>
  </si>
  <si>
    <t xml:space="preserve">Revenue (₹Cr)   </t>
  </si>
  <si>
    <t xml:space="preserve"> PAT (₹Cr)     </t>
  </si>
  <si>
    <t>EBITDA (₹Cr)</t>
  </si>
  <si>
    <t>FY 24</t>
  </si>
  <si>
    <t>FY 25</t>
  </si>
  <si>
    <t>FY 26</t>
  </si>
  <si>
    <t>Key KPIS</t>
  </si>
  <si>
    <t>Profitability</t>
  </si>
  <si>
    <t>Balance sheet</t>
  </si>
  <si>
    <t xml:space="preserve">EBITDA margin FY26                   </t>
  </si>
  <si>
    <t>PAT margin FY26</t>
  </si>
  <si>
    <t>RoNW FY26</t>
  </si>
  <si>
    <t>Revenue CAGR (FY24–26)</t>
  </si>
  <si>
    <t>~56%</t>
  </si>
  <si>
    <t>PAT CAGR (FY24–26)</t>
  </si>
  <si>
    <t>~285%</t>
  </si>
  <si>
    <t>Total borrowings</t>
  </si>
  <si>
    <t>₹35.76Cr</t>
  </si>
  <si>
    <t>Debt-equity ratio</t>
  </si>
  <si>
    <t>1.44×</t>
  </si>
  <si>
    <t>CFO FY26</t>
  </si>
  <si>
    <t>₹10.09Cr</t>
  </si>
  <si>
    <t>Capex FY26</t>
  </si>
  <si>
    <t>₹34.65Cr</t>
  </si>
  <si>
    <t>14,100 MTPA</t>
  </si>
  <si>
    <t>Installed capacity</t>
  </si>
  <si>
    <t>Valuation Models</t>
  </si>
  <si>
    <t>Debt</t>
  </si>
  <si>
    <t xml:space="preserve">WC </t>
  </si>
  <si>
    <t xml:space="preserve">Corp </t>
  </si>
  <si>
    <t xml:space="preserve">Capex </t>
  </si>
  <si>
    <t>Column1</t>
  </si>
  <si>
    <t>HORIZON RECLAIM (INDIA) LTD - (IPO ANALYSIS)</t>
  </si>
  <si>
    <t>P/E Model</t>
  </si>
  <si>
    <t>EV EBITDA</t>
  </si>
  <si>
    <t>P/B Model</t>
  </si>
  <si>
    <t>DCF Model</t>
  </si>
  <si>
    <t>EBITDA</t>
  </si>
  <si>
    <t>PAT</t>
  </si>
  <si>
    <t>EBITDA and PAT Margin %</t>
  </si>
  <si>
    <t>(1.16/20.33*100)</t>
  </si>
  <si>
    <t>(9.84/36.39*100)</t>
  </si>
  <si>
    <t>(16.32/49.42*100)</t>
  </si>
  <si>
    <t>(0.71/20.33*100)</t>
  </si>
  <si>
    <r>
      <rPr>
        <b/>
        <sz val="11"/>
        <color theme="1"/>
        <rFont val="Calibri"/>
        <family val="2"/>
        <scheme val="minor"/>
      </rPr>
      <t>PAT margin %</t>
    </r>
    <r>
      <rPr>
        <sz val="11"/>
        <color theme="1"/>
        <rFont val="Calibri"/>
        <family val="2"/>
        <scheme val="minor"/>
      </rPr>
      <t xml:space="preserve"> = (PAT/Revenue)*100</t>
    </r>
  </si>
  <si>
    <r>
      <rPr>
        <b/>
        <sz val="11"/>
        <color theme="1"/>
        <rFont val="Calibri"/>
        <family val="2"/>
        <scheme val="minor"/>
      </rPr>
      <t>EBITDA margin %</t>
    </r>
    <r>
      <rPr>
        <sz val="11"/>
        <color theme="1"/>
        <rFont val="Calibri"/>
        <family val="2"/>
        <scheme val="minor"/>
      </rPr>
      <t xml:space="preserve"> = (EBITDA/Revenue)*100</t>
    </r>
  </si>
  <si>
    <t>(7.07/36.39*100)</t>
  </si>
  <si>
    <t>(10.50/49.42*100)</t>
  </si>
  <si>
    <t>The gap between EBITDA% and PAT% is bridged by depreciation (~₹1.4Cr), finance costs (~₹3.2Cr), and income tax (~₹1.2Cr) in FY26.</t>
  </si>
  <si>
    <t>Investment scorecard</t>
  </si>
  <si>
    <t>Business model</t>
  </si>
  <si>
    <t>Market Opportunity</t>
  </si>
  <si>
    <t>Competitive moat</t>
  </si>
  <si>
    <t>Revenue stability</t>
  </si>
  <si>
    <t>Financial health</t>
  </si>
  <si>
    <t>Governance</t>
  </si>
  <si>
    <t>Growth Strategy</t>
  </si>
  <si>
    <t>Overall</t>
  </si>
  <si>
    <t>5.7/10</t>
  </si>
  <si>
    <t xml:space="preserve">Avoid fresh entry ar ₹151  listing price - all investor types </t>
  </si>
  <si>
    <t xml:space="preserve">At the listing price of ₹151, all four valuation models show a 40–76% premium to intrinsic value. P/E of 28.1× is 50% above the sector median. </t>
  </si>
  <si>
    <t>The margin of safety is −55.8% — meaning the price would need to fall to ₹96.75 just to reach fair value.</t>
  </si>
  <si>
    <t>Wait and watch — value investors</t>
  </si>
  <si>
    <t>The intrinsic value range is ₹86–108. A re-entry zone of ₹85–95 would offer a genuine 10–15% margin of safety. Watch for: (1) two consecutive quarters of 25%+ EBITDA margins post-listing,</t>
  </si>
  <si>
    <t xml:space="preserve"> (2) Unit III commencing commercial production, </t>
  </si>
  <si>
    <t>(3) resolution of the ICICI Bank auditor flag</t>
  </si>
  <si>
    <t>Hold if allotted at ₹103 — IPO allottees</t>
  </si>
  <si>
    <t xml:space="preserve">If you received allotment at ₹103, you are sitting on a 46.6% listing gain. The risk-reward now shifts. </t>
  </si>
  <si>
    <t>Partial profit-booking (50% of position at ₹145–155) is rational — locking in a near-certain gain while leaving exposure for the Unit III upside</t>
  </si>
  <si>
    <t>Scoring basis: Business model = cost-arbitrage logic + 19yr track record + CPCB moat. Market = ELT generation growth + EPR policy tailwinds. Moat = fragmented unorganised competition limits pricing power. Revenue = 100% PO-driven, no long-term contracts. Health = D/E 1.44×. Governance = auditor flag + RoC non-compliances.</t>
  </si>
  <si>
    <t>Investment Recommendation</t>
  </si>
  <si>
    <t>Fairly valued at ₹103; listing premium (₹151) is sentiment-driven</t>
  </si>
  <si>
    <t xml:space="preserve">Issue price (₹103) is supported only by DCF (₹108); P/E, EV/EBITDA and P/B all suggest overvaluation. The listing pop (304x subscription, +46.6%) reflects sector momentum, not fundamentals. </t>
  </si>
  <si>
    <t>At ₹151, all models show 40-75% premium to intrinsic value — the thesis now hinges entirely on Unit III ramp-up and sustained 30%+ EBITDA margins.</t>
  </si>
  <si>
    <t>1. Debt repayment: ₹26.70Cr ÷ ₹54.27Cr × 100 = 49.2%. Repays ICICI Bank cash credit, term loans, and related-party unsecured loans (total outstanding ₹35.76Cr; partial repayment).</t>
  </si>
  <si>
    <t>4. General corporate: Balance ~₹0.5Cr = ~1%. Administrative and listing costs.</t>
  </si>
  <si>
    <t>2. Working capital: Residual after other heads ≈ ₹18.14Cr = 33.4%. Funds raw material procurement cycles                                                  (inventory turnover ~18 days in FY26).</t>
  </si>
  <si>
    <t>3. Capex: ₹9.43Cr = 17.4%. Additional plant and machinery for Unit III at Bhagwanpur, Haridwar                                                                                                  (yet to commence operations as of Jun 2026).</t>
  </si>
  <si>
    <t>Revenue: Sales of reclaimed rubber products + EPR credit income + export/forex gains. Sourced from P&amp;L "Revenue from operations.
" FY24 ₹20.33Cr → FY25 ₹36.39Cr → FY26 ₹49.42Cr (+₹0.59Cr other income = ₹50.01Cr total).</t>
  </si>
  <si>
    <r>
      <t>EBITDA</t>
    </r>
    <r>
      <rPr>
        <sz val="11"/>
        <color rgb="FF52514E"/>
        <rFont val="Calibri"/>
        <family val="2"/>
        <scheme val="minor"/>
      </rPr>
      <t> = Revenue − Cost of materials − Employee costs − Other operating expenses (excludes depreciation, interest, tax).
 FY24 ₹1.16Cr · FY25 ₹9.84Cr · FY26 ₹16.32Cr.</t>
    </r>
  </si>
  <si>
    <t>PAT = EBITDA − Depreciation − Finance costs − Tax. FY24 ₹0.71Cr · FY25 ₹7.07Cr · FY26 ₹10.50Cr. PAT CAGR over 2 yrs ≈ 285% (√(10.50/0.71) − 1).</t>
  </si>
  <si>
    <r>
      <t>P/E model:</t>
    </r>
    <r>
      <rPr>
        <b/>
        <sz val="11"/>
        <color rgb="FF52514E"/>
        <rFont val="Calibri"/>
        <family val="2"/>
        <scheme val="minor"/>
      </rPr>
      <t> Sector peer median P/E ≈ 18× applied to post-issue EPS ₹5.38 → 18 × 5.38 = </t>
    </r>
    <r>
      <rPr>
        <b/>
        <sz val="11"/>
        <color rgb="FF0B0B0B"/>
        <rFont val="Calibri"/>
        <family val="2"/>
        <scheme val="minor"/>
      </rPr>
      <t>₹96.84 ≈ ₹95</t>
    </r>
    <r>
      <rPr>
        <b/>
        <sz val="11"/>
        <color rgb="FF52514E"/>
        <rFont val="Calibri"/>
        <family val="2"/>
        <scheme val="minor"/>
      </rPr>
      <t>. EPS = PAT ÷ post-issue shares = ₹10.50Cr ÷ 1.952Cr shares = ₹5.38.</t>
    </r>
  </si>
  <si>
    <r>
      <t>EV/EBITDA model:</t>
    </r>
    <r>
      <rPr>
        <sz val="11"/>
        <color rgb="FF52514E"/>
        <rFont val="Segoe UI"/>
        <family val="2"/>
      </rPr>
      <t> Peer EV/EBITDA ≈ 10× applied to EBITDA ₹16.32Cr → EV = ₹163.2Cr. Less net debt ₹25.67Cr ÷ 1.952Cr shares = </t>
    </r>
    <r>
      <rPr>
        <b/>
        <sz val="11"/>
        <color rgb="FF0B0B0B"/>
        <rFont val="Segoe UI"/>
        <family val="2"/>
      </rPr>
      <t>₹70.5Cr ÷ equity → ₹86/share</t>
    </r>
    <r>
      <rPr>
        <sz val="11"/>
        <color rgb="FF52514E"/>
        <rFont val="Segoe UI"/>
        <family val="2"/>
      </rPr>
      <t>.</t>
    </r>
  </si>
  <si>
    <r>
      <t>P/B model:</t>
    </r>
    <r>
      <rPr>
        <sz val="11"/>
        <color rgb="FF52514E"/>
        <rFont val="Segoe UI"/>
        <family val="2"/>
      </rPr>
      <t> Sector P/B ~3.5× applied to post-issue book value/share ₹17.42 + IPO proceeds uplift → 3.5 × ₹28.10 = </t>
    </r>
    <r>
      <rPr>
        <b/>
        <sz val="11"/>
        <color rgb="FF0B0B0B"/>
        <rFont val="Segoe UI"/>
        <family val="2"/>
      </rPr>
      <t>₹98</t>
    </r>
    <r>
      <rPr>
        <sz val="11"/>
        <color rgb="FF52514E"/>
        <rFont val="Segoe UI"/>
        <family val="2"/>
      </rPr>
      <t>.</t>
    </r>
  </si>
  <si>
    <r>
      <t>DCF model:</t>
    </r>
    <r>
      <rPr>
        <sz val="11"/>
        <color rgb="FF52514E"/>
        <rFont val="Segoe UI"/>
        <family val="2"/>
      </rPr>
      <t> 5-yr FCF projection at 12% revenue CAGR, 20% PAT margin, discounted at 15% WACC, terminal value at 3% growth → NPV per share ≈ </t>
    </r>
    <r>
      <rPr>
        <b/>
        <sz val="11"/>
        <color rgb="FF0B0B0B"/>
        <rFont val="Segoe UI"/>
        <family val="2"/>
      </rPr>
      <t>₹108</t>
    </r>
    <r>
      <rPr>
        <sz val="11"/>
        <color rgb="FF52514E"/>
        <rFont val="Segoe UI"/>
        <family val="2"/>
      </rPr>
      <t>. Only model giving upside above ₹103.</t>
    </r>
  </si>
  <si>
    <t>Private &amp; Confidential  |  Prepared by: [Saurabh Devre]  |  [02-07-26]  |  Version: 1.0</t>
  </si>
  <si>
    <t>Topic</t>
  </si>
  <si>
    <t>Risk factors</t>
  </si>
  <si>
    <t>1. EBITDA 5.7%→32.6% in 2 yrs — pre-IPO margin inflection unverified; bear case EPS ₹3–4 if it reverts</t>
  </si>
  <si>
    <t>(High)</t>
  </si>
  <si>
    <t>2. Auditor flagged stock/debtor statement discrepancies submitted to ICICI Bank in FY26 — internal control weakness</t>
  </si>
  <si>
    <t xml:space="preserve">1. 100% purchase-order revenue, no long-term supply or customer contracts on either side of the business
</t>
  </si>
  <si>
    <t>2. 12.77% raw materials from China; machinery also China-sourced — geopolitical and import duty risk</t>
  </si>
  <si>
    <t>(Medium)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</si>
</sst>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;@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rgb="FFC9A84C"/>
      <name val="Arial"/>
      <charset val="1"/>
    </font>
    <font>
      <sz val="13"/>
      <color rgb="FFFFFFFF"/>
      <name val="Arial"/>
      <charset val="1"/>
    </font>
    <font>
      <b/>
      <sz val="11"/>
      <color theme="1"/>
      <name val="Calibri"/>
      <family val="2"/>
      <scheme val="minor"/>
    </font>
    <font>
      <b/>
      <sz val="7"/>
      <color rgb="FF3D3D3A"/>
      <name val="Arial"/>
      <family val="2"/>
    </font>
    <font>
      <b/>
      <sz val="7"/>
      <color rgb="FF73726C"/>
      <name val="Arial"/>
      <family val="2"/>
    </font>
    <font>
      <b/>
      <sz val="13"/>
      <color rgb="FF141413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Bell MT"/>
      <family val="1"/>
    </font>
    <font>
      <sz val="10"/>
      <color rgb="FF3D3D3A"/>
      <name val="Arial"/>
      <family val="2"/>
    </font>
    <font>
      <sz val="10"/>
      <color theme="1"/>
      <name val="Calibri"/>
      <family val="2"/>
      <scheme val="minor"/>
    </font>
    <font>
      <sz val="10"/>
      <color rgb="FF3D3D3A"/>
      <name val="Calibri"/>
      <family val="2"/>
      <scheme val="minor"/>
    </font>
    <font>
      <u/>
      <sz val="11"/>
      <color rgb="FF0072AE"/>
      <name val="Calibri"/>
      <family val="2"/>
      <scheme val="minor"/>
    </font>
    <font>
      <sz val="14"/>
      <color rgb="FF3D3D3A"/>
      <name val="Arial"/>
      <family val="2"/>
    </font>
    <font>
      <u/>
      <sz val="14"/>
      <color theme="1"/>
      <name val="Calibri"/>
      <family val="2"/>
      <scheme val="minor"/>
    </font>
    <font>
      <sz val="7"/>
      <color rgb="FF52514E"/>
      <name val="Arial"/>
      <family val="2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B0B0B"/>
      <name val="Segoe UI"/>
      <family val="2"/>
    </font>
    <font>
      <sz val="11"/>
      <color theme="8" tint="-0.249977111117893"/>
      <name val="Calibri"/>
      <family val="2"/>
      <scheme val="minor"/>
    </font>
    <font>
      <sz val="11"/>
      <color rgb="FFDF0000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1"/>
      <color rgb="FF2C7E0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0072AE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u/>
      <sz val="11"/>
      <color rgb="FF00467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i/>
      <sz val="11"/>
      <color rgb="FF7F7F7F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 val="double"/>
      <sz val="11"/>
      <color theme="1"/>
      <name val="Calibri"/>
      <family val="2"/>
      <scheme val="minor"/>
    </font>
    <font>
      <sz val="11"/>
      <color rgb="FF52514E"/>
      <name val="Calibri"/>
      <family val="2"/>
      <scheme val="minor"/>
    </font>
    <font>
      <sz val="11"/>
      <color rgb="FF52514E"/>
      <name val="Segoe UI"/>
      <family val="2"/>
    </font>
    <font>
      <b/>
      <sz val="11"/>
      <color rgb="FF0B0B0B"/>
      <name val="Calibri"/>
      <family val="2"/>
      <scheme val="minor"/>
    </font>
    <font>
      <b/>
      <sz val="11"/>
      <color rgb="FF52514E"/>
      <name val="Calibri"/>
      <family val="2"/>
      <scheme val="minor"/>
    </font>
    <font>
      <i/>
      <sz val="9"/>
      <color rgb="FFC9A84C"/>
      <name val="Arial"/>
      <family val="2"/>
    </font>
    <font>
      <b/>
      <i/>
      <u val="double"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76E3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27ACB"/>
        <bgColor indexed="64"/>
      </patternFill>
    </fill>
    <fill>
      <patternFill patternType="solid">
        <fgColor rgb="FFAAE571"/>
        <bgColor indexed="64"/>
      </patternFill>
    </fill>
    <fill>
      <patternFill patternType="solid">
        <fgColor rgb="FFFFFFC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0">
    <xf numFmtId="0" fontId="0" fillId="0" borderId="0"/>
    <xf numFmtId="0" fontId="8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1" fillId="14" borderId="14" applyNumberFormat="0" applyFont="0" applyAlignment="0" applyProtection="0"/>
    <xf numFmtId="0" fontId="28" fillId="0" borderId="0" applyNumberFormat="0" applyFill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</cellStyleXfs>
  <cellXfs count="83">
    <xf numFmtId="0" fontId="0" fillId="0" borderId="0" xfId="0"/>
    <xf numFmtId="0" fontId="0" fillId="3" borderId="0" xfId="0" applyFill="1"/>
    <xf numFmtId="0" fontId="5" fillId="3" borderId="0" xfId="0" applyFont="1" applyFill="1" applyAlignment="1">
      <alignment vertical="center" wrapText="1"/>
    </xf>
    <xf numFmtId="0" fontId="7" fillId="3" borderId="0" xfId="0" applyFont="1" applyFill="1" applyAlignment="1">
      <alignment vertical="center" wrapText="1"/>
    </xf>
    <xf numFmtId="0" fontId="6" fillId="3" borderId="0" xfId="0" applyFont="1" applyFill="1" applyAlignment="1">
      <alignment vertical="center" wrapText="1"/>
    </xf>
    <xf numFmtId="0" fontId="4" fillId="3" borderId="0" xfId="0" applyFont="1" applyFill="1"/>
    <xf numFmtId="0" fontId="8" fillId="3" borderId="0" xfId="1" applyFill="1"/>
    <xf numFmtId="0" fontId="0" fillId="3" borderId="0" xfId="0" applyFill="1" applyAlignment="1">
      <alignment horizontal="left" vertical="center" indent="1"/>
    </xf>
    <xf numFmtId="0" fontId="4" fillId="3" borderId="0" xfId="0" applyFont="1" applyFill="1" applyAlignment="1">
      <alignment horizontal="left" vertical="center" indent="1"/>
    </xf>
    <xf numFmtId="0" fontId="0" fillId="4" borderId="1" xfId="0" applyFill="1" applyBorder="1"/>
    <xf numFmtId="0" fontId="9" fillId="5" borderId="1" xfId="0" applyFont="1" applyFill="1" applyBorder="1"/>
    <xf numFmtId="0" fontId="0" fillId="5" borderId="1" xfId="0" applyFill="1" applyBorder="1"/>
    <xf numFmtId="0" fontId="14" fillId="5" borderId="1" xfId="0" applyFont="1" applyFill="1" applyBorder="1"/>
    <xf numFmtId="0" fontId="16" fillId="0" borderId="0" xfId="0" applyFont="1"/>
    <xf numFmtId="0" fontId="0" fillId="6" borderId="1" xfId="0" applyFill="1" applyBorder="1"/>
    <xf numFmtId="0" fontId="0" fillId="6" borderId="1" xfId="0" applyFill="1" applyBorder="1" applyAlignment="1">
      <alignment horizontal="right"/>
    </xf>
    <xf numFmtId="10" fontId="0" fillId="6" borderId="1" xfId="2" applyNumberFormat="1" applyFont="1" applyFill="1" applyBorder="1"/>
    <xf numFmtId="0" fontId="0" fillId="3" borderId="1" xfId="0" applyFill="1" applyBorder="1"/>
    <xf numFmtId="165" fontId="18" fillId="3" borderId="1" xfId="0" applyNumberFormat="1" applyFont="1" applyFill="1" applyBorder="1"/>
    <xf numFmtId="165" fontId="20" fillId="3" borderId="1" xfId="0" applyNumberFormat="1" applyFont="1" applyFill="1" applyBorder="1"/>
    <xf numFmtId="0" fontId="0" fillId="8" borderId="1" xfId="0" applyFill="1" applyBorder="1"/>
    <xf numFmtId="165" fontId="21" fillId="3" borderId="1" xfId="0" applyNumberFormat="1" applyFont="1" applyFill="1" applyBorder="1"/>
    <xf numFmtId="0" fontId="0" fillId="9" borderId="1" xfId="0" applyFill="1" applyBorder="1"/>
    <xf numFmtId="165" fontId="22" fillId="3" borderId="1" xfId="0" applyNumberFormat="1" applyFont="1" applyFill="1" applyBorder="1"/>
    <xf numFmtId="0" fontId="0" fillId="10" borderId="1" xfId="0" applyFill="1" applyBorder="1"/>
    <xf numFmtId="165" fontId="23" fillId="3" borderId="1" xfId="0" applyNumberFormat="1" applyFont="1" applyFill="1" applyBorder="1"/>
    <xf numFmtId="0" fontId="0" fillId="11" borderId="1" xfId="0" applyFill="1" applyBorder="1"/>
    <xf numFmtId="165" fontId="24" fillId="3" borderId="1" xfId="0" applyNumberFormat="1" applyFont="1" applyFill="1" applyBorder="1"/>
    <xf numFmtId="0" fontId="0" fillId="12" borderId="1" xfId="0" applyFill="1" applyBorder="1"/>
    <xf numFmtId="0" fontId="0" fillId="13" borderId="1" xfId="0" applyFill="1" applyBorder="1"/>
    <xf numFmtId="165" fontId="25" fillId="3" borderId="1" xfId="0" applyNumberFormat="1" applyFont="1" applyFill="1" applyBorder="1" applyAlignment="1">
      <alignment horizontal="right"/>
    </xf>
    <xf numFmtId="0" fontId="26" fillId="3" borderId="1" xfId="0" applyFont="1" applyFill="1" applyBorder="1" applyAlignment="1">
      <alignment wrapText="1"/>
    </xf>
    <xf numFmtId="0" fontId="27" fillId="3" borderId="3" xfId="0" applyFont="1" applyFill="1" applyBorder="1"/>
    <xf numFmtId="0" fontId="0" fillId="3" borderId="4" xfId="0" applyFill="1" applyBorder="1"/>
    <xf numFmtId="0" fontId="10" fillId="6" borderId="5" xfId="0" applyFont="1" applyFill="1" applyBorder="1"/>
    <xf numFmtId="0" fontId="11" fillId="6" borderId="6" xfId="0" applyFont="1" applyFill="1" applyBorder="1"/>
    <xf numFmtId="0" fontId="10" fillId="6" borderId="7" xfId="0" applyFont="1" applyFill="1" applyBorder="1"/>
    <xf numFmtId="0" fontId="11" fillId="6" borderId="8" xfId="0" applyFont="1" applyFill="1" applyBorder="1"/>
    <xf numFmtId="0" fontId="13" fillId="3" borderId="3" xfId="0" applyFont="1" applyFill="1" applyBorder="1"/>
    <xf numFmtId="10" fontId="12" fillId="6" borderId="6" xfId="0" applyNumberFormat="1" applyFont="1" applyFill="1" applyBorder="1" applyAlignment="1">
      <alignment horizontal="right" vertical="center"/>
    </xf>
    <xf numFmtId="10" fontId="12" fillId="6" borderId="8" xfId="0" applyNumberFormat="1" applyFont="1" applyFill="1" applyBorder="1" applyAlignment="1">
      <alignment horizontal="right" vertical="center"/>
    </xf>
    <xf numFmtId="0" fontId="0" fillId="3" borderId="9" xfId="0" applyFill="1" applyBorder="1"/>
    <xf numFmtId="10" fontId="0" fillId="3" borderId="10" xfId="0" applyNumberFormat="1" applyFill="1" applyBorder="1"/>
    <xf numFmtId="0" fontId="0" fillId="3" borderId="2" xfId="0" applyFill="1" applyBorder="1"/>
    <xf numFmtId="10" fontId="0" fillId="3" borderId="3" xfId="0" applyNumberFormat="1" applyFill="1" applyBorder="1"/>
    <xf numFmtId="0" fontId="0" fillId="7" borderId="6" xfId="0" applyFill="1" applyBorder="1"/>
    <xf numFmtId="0" fontId="0" fillId="7" borderId="12" xfId="0" applyFill="1" applyBorder="1"/>
    <xf numFmtId="0" fontId="0" fillId="7" borderId="5" xfId="0" applyFill="1" applyBorder="1"/>
    <xf numFmtId="0" fontId="15" fillId="5" borderId="1" xfId="0" applyFon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9" fillId="3" borderId="0" xfId="4" applyFont="1" applyFill="1" applyAlignment="1">
      <alignment wrapText="1"/>
    </xf>
    <xf numFmtId="0" fontId="29" fillId="3" borderId="0" xfId="4" applyFont="1" applyFill="1"/>
    <xf numFmtId="0" fontId="1" fillId="19" borderId="1" xfId="9" applyBorder="1"/>
    <xf numFmtId="9" fontId="1" fillId="19" borderId="1" xfId="9" applyNumberFormat="1" applyBorder="1"/>
    <xf numFmtId="0" fontId="1" fillId="18" borderId="1" xfId="8" applyBorder="1"/>
    <xf numFmtId="0" fontId="30" fillId="15" borderId="0" xfId="5" applyFont="1"/>
    <xf numFmtId="0" fontId="0" fillId="3" borderId="0" xfId="0" applyFont="1" applyFill="1"/>
    <xf numFmtId="0" fontId="1" fillId="16" borderId="0" xfId="6"/>
    <xf numFmtId="0" fontId="31" fillId="15" borderId="0" xfId="5" applyFont="1" applyAlignment="1">
      <alignment horizontal="left"/>
    </xf>
    <xf numFmtId="0" fontId="31" fillId="16" borderId="0" xfId="6" applyFont="1" applyAlignment="1">
      <alignment horizontal="left"/>
    </xf>
    <xf numFmtId="0" fontId="30" fillId="16" borderId="0" xfId="6" applyFont="1"/>
    <xf numFmtId="0" fontId="1" fillId="17" borderId="0" xfId="7" applyAlignment="1">
      <alignment horizontal="left"/>
    </xf>
    <xf numFmtId="0" fontId="1" fillId="17" borderId="0" xfId="7"/>
    <xf numFmtId="0" fontId="1" fillId="19" borderId="13" xfId="9" applyBorder="1"/>
    <xf numFmtId="0" fontId="1" fillId="19" borderId="0" xfId="9"/>
    <xf numFmtId="0" fontId="0" fillId="4" borderId="6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4" fillId="7" borderId="6" xfId="0" applyFont="1" applyFill="1" applyBorder="1" applyAlignment="1">
      <alignment horizontal="center"/>
    </xf>
    <xf numFmtId="0" fontId="4" fillId="7" borderId="5" xfId="0" applyFont="1" applyFill="1" applyBorder="1" applyAlignment="1">
      <alignment horizontal="center"/>
    </xf>
    <xf numFmtId="0" fontId="4" fillId="14" borderId="14" xfId="3" applyFont="1"/>
    <xf numFmtId="0" fontId="0" fillId="14" borderId="14" xfId="3" applyFont="1"/>
    <xf numFmtId="0" fontId="36" fillId="2" borderId="0" xfId="0" applyFont="1" applyFill="1" applyAlignment="1">
      <alignment horizontal="center" vertical="center"/>
    </xf>
    <xf numFmtId="0" fontId="17" fillId="14" borderId="14" xfId="3" applyFont="1" applyAlignment="1">
      <alignment horizontal="center"/>
    </xf>
    <xf numFmtId="0" fontId="17" fillId="14" borderId="14" xfId="3" applyFont="1" applyAlignment="1">
      <alignment horizontal="center"/>
    </xf>
    <xf numFmtId="0" fontId="37" fillId="3" borderId="0" xfId="0" applyFont="1" applyFill="1"/>
    <xf numFmtId="0" fontId="31" fillId="3" borderId="0" xfId="0" applyFont="1" applyFill="1"/>
    <xf numFmtId="0" fontId="0" fillId="3" borderId="0" xfId="0" applyFont="1" applyFill="1" applyBorder="1"/>
    <xf numFmtId="0" fontId="0" fillId="3" borderId="0" xfId="0" applyFont="1" applyFill="1" applyAlignment="1">
      <alignment vertical="top"/>
    </xf>
  </cellXfs>
  <cellStyles count="10">
    <cellStyle name="40% - Accent1" xfId="5" builtinId="31"/>
    <cellStyle name="40% - Accent2" xfId="6" builtinId="35"/>
    <cellStyle name="40% - Accent4" xfId="7" builtinId="43"/>
    <cellStyle name="40% - Accent5" xfId="8" builtinId="47"/>
    <cellStyle name="40% - Accent6" xfId="9" builtinId="51"/>
    <cellStyle name="Explanatory Text" xfId="4" builtinId="53"/>
    <cellStyle name="Hyperlink" xfId="1" builtinId="8"/>
    <cellStyle name="Normal" xfId="0" builtinId="0"/>
    <cellStyle name="Note" xfId="3" builtinId="10"/>
    <cellStyle name="Percent" xfId="2" builtinId="5"/>
  </cellStyles>
  <dxfs count="12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D3D3A"/>
        <name val="Arial"/>
        <family val="2"/>
        <scheme val="none"/>
      </font>
      <fill>
        <patternFill patternType="solid">
          <fgColor indexed="64"/>
          <bgColor theme="4" tint="0.5999938962981048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D3D3A"/>
        <name val="Arial"/>
        <family val="2"/>
        <scheme val="none"/>
      </font>
      <fill>
        <patternFill patternType="solid">
          <fgColor indexed="64"/>
          <bgColor theme="4" tint="0.5999938962981048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4B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Horizon Reclaim (India) Ltd</a:t>
            </a:r>
          </a:p>
        </c:rich>
      </c:tx>
      <c:layout>
        <c:manualLayout>
          <c:xMode val="edge"/>
          <c:yMode val="edge"/>
          <c:x val="0.24998755711091669"/>
          <c:y val="9.259259259259258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'📊 Dashboard'!$L$20:$L$21</c:f>
              <c:strCache>
                <c:ptCount val="2"/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solidFill>
                <a:sysClr val="windowText" lastClr="000000">
                  <a:lumMod val="50000"/>
                  <a:lumOff val="50000"/>
                </a:sys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'📊 Dashboard'!$K$25:$K$29</c:f>
              <c:strCache>
                <c:ptCount val="5"/>
                <c:pt idx="0">
                  <c:v>FY 24</c:v>
                </c:pt>
                <c:pt idx="2">
                  <c:v>FY 25</c:v>
                </c:pt>
                <c:pt idx="4">
                  <c:v>FY 26</c:v>
                </c:pt>
              </c:strCache>
            </c:strRef>
          </c:cat>
          <c:val>
            <c:numRef>
              <c:f>'📊 Dashboard'!$L$25:$L$29</c:f>
              <c:numCache>
                <c:formatCode>General</c:formatCode>
                <c:ptCount val="5"/>
                <c:pt idx="0">
                  <c:v>20.329999999999998</c:v>
                </c:pt>
                <c:pt idx="2">
                  <c:v>36.39</c:v>
                </c:pt>
                <c:pt idx="4">
                  <c:v>50.01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AB-44EC-9386-5362ADDFD409}"/>
            </c:ext>
          </c:extLst>
        </c:ser>
        <c:ser>
          <c:idx val="1"/>
          <c:order val="1"/>
          <c:tx>
            <c:strRef>
              <c:f>'📊 Dashboard'!$M$20:$M$21</c:f>
              <c:strCache>
                <c:ptCount val="2"/>
              </c:strCache>
            </c:strRef>
          </c:tx>
          <c:spPr>
            <a:gradFill flip="none" rotWithShape="1">
              <a:gsLst>
                <a:gs pos="0">
                  <a:schemeClr val="accent2"/>
                </a:gs>
                <a:gs pos="75000">
                  <a:schemeClr val="accent2">
                    <a:lumMod val="60000"/>
                    <a:lumOff val="40000"/>
                  </a:schemeClr>
                </a:gs>
                <a:gs pos="51000">
                  <a:schemeClr val="accent2">
                    <a:alpha val="75000"/>
                  </a:schemeClr>
                </a:gs>
                <a:gs pos="100000">
                  <a:schemeClr val="accent2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solidFill>
                <a:schemeClr val="tx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'📊 Dashboard'!$K$25:$K$29</c:f>
              <c:strCache>
                <c:ptCount val="5"/>
                <c:pt idx="0">
                  <c:v>FY 24</c:v>
                </c:pt>
                <c:pt idx="2">
                  <c:v>FY 25</c:v>
                </c:pt>
                <c:pt idx="4">
                  <c:v>FY 26</c:v>
                </c:pt>
              </c:strCache>
            </c:strRef>
          </c:cat>
          <c:val>
            <c:numRef>
              <c:f>'📊 Dashboard'!$M$25:$M$29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1-CFAB-44EC-9386-5362ADDFD409}"/>
            </c:ext>
          </c:extLst>
        </c:ser>
        <c:ser>
          <c:idx val="2"/>
          <c:order val="2"/>
          <c:tx>
            <c:strRef>
              <c:f>'📊 Dashboard'!$N$20:$N$21</c:f>
              <c:strCache>
                <c:ptCount val="2"/>
              </c:strCache>
            </c:strRef>
          </c:tx>
          <c:spPr>
            <a:gradFill flip="none" rotWithShape="1">
              <a:gsLst>
                <a:gs pos="0">
                  <a:schemeClr val="accent3"/>
                </a:gs>
                <a:gs pos="75000">
                  <a:schemeClr val="accent3">
                    <a:lumMod val="60000"/>
                    <a:lumOff val="40000"/>
                  </a:schemeClr>
                </a:gs>
                <a:gs pos="51000">
                  <a:schemeClr val="accent3">
                    <a:alpha val="75000"/>
                  </a:schemeClr>
                </a:gs>
                <a:gs pos="100000">
                  <a:schemeClr val="accent3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solidFill>
                <a:sysClr val="windowText" lastClr="000000">
                  <a:lumMod val="50000"/>
                  <a:lumOff val="50000"/>
                </a:sys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'📊 Dashboard'!$K$25:$K$29</c:f>
              <c:strCache>
                <c:ptCount val="5"/>
                <c:pt idx="0">
                  <c:v>FY 24</c:v>
                </c:pt>
                <c:pt idx="2">
                  <c:v>FY 25</c:v>
                </c:pt>
                <c:pt idx="4">
                  <c:v>FY 26</c:v>
                </c:pt>
              </c:strCache>
            </c:strRef>
          </c:cat>
          <c:val>
            <c:numRef>
              <c:f>'📊 Dashboard'!$N$25:$N$29</c:f>
              <c:numCache>
                <c:formatCode>General</c:formatCode>
                <c:ptCount val="5"/>
                <c:pt idx="0">
                  <c:v>1.1599999999999999</c:v>
                </c:pt>
                <c:pt idx="2">
                  <c:v>9.84</c:v>
                </c:pt>
                <c:pt idx="4">
                  <c:v>16.32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AB-44EC-9386-5362ADDFD409}"/>
            </c:ext>
          </c:extLst>
        </c:ser>
        <c:ser>
          <c:idx val="3"/>
          <c:order val="3"/>
          <c:tx>
            <c:strRef>
              <c:f>'📊 Dashboard'!$O$20:$O$21</c:f>
              <c:strCache>
                <c:ptCount val="2"/>
              </c:strCache>
            </c:strRef>
          </c:tx>
          <c:spPr>
            <a:gradFill flip="none" rotWithShape="1">
              <a:gsLst>
                <a:gs pos="0">
                  <a:schemeClr val="accent4"/>
                </a:gs>
                <a:gs pos="75000">
                  <a:schemeClr val="accent4">
                    <a:lumMod val="60000"/>
                    <a:lumOff val="40000"/>
                  </a:schemeClr>
                </a:gs>
                <a:gs pos="51000">
                  <a:schemeClr val="accent4">
                    <a:alpha val="75000"/>
                  </a:schemeClr>
                </a:gs>
                <a:gs pos="100000">
                  <a:schemeClr val="accent4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solidFill>
                <a:schemeClr val="tx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'📊 Dashboard'!$K$25:$K$29</c:f>
              <c:strCache>
                <c:ptCount val="5"/>
                <c:pt idx="0">
                  <c:v>FY 24</c:v>
                </c:pt>
                <c:pt idx="2">
                  <c:v>FY 25</c:v>
                </c:pt>
                <c:pt idx="4">
                  <c:v>FY 26</c:v>
                </c:pt>
              </c:strCache>
            </c:strRef>
          </c:cat>
          <c:val>
            <c:numRef>
              <c:f>'📊 Dashboard'!$O$25:$O$29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3-CFAB-44EC-9386-5362ADDFD409}"/>
            </c:ext>
          </c:extLst>
        </c:ser>
        <c:ser>
          <c:idx val="4"/>
          <c:order val="4"/>
          <c:tx>
            <c:strRef>
              <c:f>'📊 Dashboard'!$P$20:$P$21</c:f>
              <c:strCache>
                <c:ptCount val="2"/>
              </c:strCache>
            </c:strRef>
          </c:tx>
          <c:spPr>
            <a:gradFill flip="none" rotWithShape="1">
              <a:gsLst>
                <a:gs pos="0">
                  <a:schemeClr val="accent5"/>
                </a:gs>
                <a:gs pos="75000">
                  <a:schemeClr val="accent5">
                    <a:lumMod val="60000"/>
                    <a:lumOff val="40000"/>
                  </a:schemeClr>
                </a:gs>
                <a:gs pos="51000">
                  <a:schemeClr val="accent5">
                    <a:alpha val="75000"/>
                  </a:schemeClr>
                </a:gs>
                <a:gs pos="100000">
                  <a:schemeClr val="accent5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solidFill>
                <a:sysClr val="windowText" lastClr="000000">
                  <a:lumMod val="50000"/>
                  <a:lumOff val="50000"/>
                </a:sys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'📊 Dashboard'!$K$25:$K$29</c:f>
              <c:strCache>
                <c:ptCount val="5"/>
                <c:pt idx="0">
                  <c:v>FY 24</c:v>
                </c:pt>
                <c:pt idx="2">
                  <c:v>FY 25</c:v>
                </c:pt>
                <c:pt idx="4">
                  <c:v>FY 26</c:v>
                </c:pt>
              </c:strCache>
            </c:strRef>
          </c:cat>
          <c:val>
            <c:numRef>
              <c:f>'📊 Dashboard'!$P$25:$P$29</c:f>
              <c:numCache>
                <c:formatCode>General</c:formatCode>
                <c:ptCount val="5"/>
                <c:pt idx="0">
                  <c:v>0.71</c:v>
                </c:pt>
                <c:pt idx="2">
                  <c:v>7.07</c:v>
                </c:pt>
                <c:pt idx="4">
                  <c:v>10.5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FAB-44EC-9386-5362ADDFD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1838020415"/>
        <c:axId val="1838006975"/>
      </c:barChart>
      <c:catAx>
        <c:axId val="1838020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006975"/>
        <c:crosses val="autoZero"/>
        <c:auto val="1"/>
        <c:lblAlgn val="ctr"/>
        <c:lblOffset val="100"/>
        <c:noMultiLvlLbl val="0"/>
      </c:catAx>
      <c:valAx>
        <c:axId val="183800697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020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0" i="0" u="none" strike="noStrike" baseline="0">
                <a:effectLst/>
              </a:rPr>
              <a:t>IPO proceeds allocation</a:t>
            </a:r>
          </a:p>
          <a:p>
            <a:pPr>
              <a:defRPr/>
            </a:pPr>
            <a:r>
              <a:rPr lang="en-IN" sz="1100" b="0" i="0" u="none" strike="noStrike" baseline="0">
                <a:effectLst/>
              </a:rPr>
              <a:t>Use of ₹54.3Cr net proceeds</a:t>
            </a:r>
            <a:endParaRPr lang="en-IN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A0D-4B51-BA7F-A9B98937ECE2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A0D-4B51-BA7F-A9B98937ECE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A24-4486-8E6D-0B2A088A9B9A}"/>
              </c:ext>
            </c:extLst>
          </c:dPt>
          <c:dPt>
            <c:idx val="3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A0D-4B51-BA7F-A9B98937ECE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'📊 Dashboard'!$P$47:$P$50</c:f>
              <c:strCache>
                <c:ptCount val="4"/>
                <c:pt idx="0">
                  <c:v>Debt</c:v>
                </c:pt>
                <c:pt idx="1">
                  <c:v>WC </c:v>
                </c:pt>
                <c:pt idx="2">
                  <c:v>Corp </c:v>
                </c:pt>
                <c:pt idx="3">
                  <c:v>Capex </c:v>
                </c:pt>
              </c:strCache>
            </c:strRef>
          </c:cat>
          <c:val>
            <c:numRef>
              <c:f>'📊 Dashboard'!$Q$47:$Q$50</c:f>
              <c:numCache>
                <c:formatCode>0%</c:formatCode>
                <c:ptCount val="4"/>
                <c:pt idx="0">
                  <c:v>0.49</c:v>
                </c:pt>
                <c:pt idx="1">
                  <c:v>0.33</c:v>
                </c:pt>
                <c:pt idx="2">
                  <c:v>0.01</c:v>
                </c:pt>
                <c:pt idx="3">
                  <c:v>0.17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0D-4B51-BA7F-A9B98937E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Valuation model</a:t>
            </a:r>
            <a:r>
              <a:rPr lang="en-IN" baseline="0"/>
              <a:t> vs ipo Price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'📊 Dashboard'!$D$69</c:f>
              <c:strCache>
                <c:ptCount val="1"/>
                <c:pt idx="0">
                  <c:v>P/E Model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'📊 Dashboard'!$E$69</c:f>
              <c:numCache>
                <c:formatCode>General</c:formatCode>
                <c:ptCount val="1"/>
                <c:pt idx="0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AF-4A2F-A41B-FD15E64F30B3}"/>
            </c:ext>
          </c:extLst>
        </c:ser>
        <c:ser>
          <c:idx val="1"/>
          <c:order val="1"/>
          <c:tx>
            <c:strRef>
              <c:f>'📊 Dashboard'!$D$70</c:f>
              <c:strCache>
                <c:ptCount val="1"/>
                <c:pt idx="0">
                  <c:v>EV EBITDA</c:v>
                </c:pt>
              </c:strCache>
            </c:strRef>
          </c:tx>
          <c:spPr>
            <a:gradFill flip="none" rotWithShape="1">
              <a:gsLst>
                <a:gs pos="0">
                  <a:schemeClr val="accent2"/>
                </a:gs>
                <a:gs pos="75000">
                  <a:schemeClr val="accent2">
                    <a:lumMod val="60000"/>
                    <a:lumOff val="40000"/>
                  </a:schemeClr>
                </a:gs>
                <a:gs pos="51000">
                  <a:schemeClr val="accent2">
                    <a:alpha val="75000"/>
                  </a:schemeClr>
                </a:gs>
                <a:gs pos="100000">
                  <a:schemeClr val="accent2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'📊 Dashboard'!$E$70</c:f>
              <c:numCache>
                <c:formatCode>General</c:formatCode>
                <c:ptCount val="1"/>
                <c:pt idx="0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AF-4A2F-A41B-FD15E64F30B3}"/>
            </c:ext>
          </c:extLst>
        </c:ser>
        <c:ser>
          <c:idx val="2"/>
          <c:order val="2"/>
          <c:tx>
            <c:strRef>
              <c:f>'📊 Dashboard'!$D$71</c:f>
              <c:strCache>
                <c:ptCount val="1"/>
                <c:pt idx="0">
                  <c:v>P/B Model</c:v>
                </c:pt>
              </c:strCache>
            </c:strRef>
          </c:tx>
          <c:spPr>
            <a:gradFill flip="none" rotWithShape="1">
              <a:gsLst>
                <a:gs pos="0">
                  <a:schemeClr val="accent3"/>
                </a:gs>
                <a:gs pos="75000">
                  <a:schemeClr val="accent3">
                    <a:lumMod val="60000"/>
                    <a:lumOff val="40000"/>
                  </a:schemeClr>
                </a:gs>
                <a:gs pos="51000">
                  <a:schemeClr val="accent3">
                    <a:alpha val="75000"/>
                  </a:schemeClr>
                </a:gs>
                <a:gs pos="100000">
                  <a:schemeClr val="accent3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'📊 Dashboard'!$E$71</c:f>
              <c:numCache>
                <c:formatCode>General</c:formatCode>
                <c:ptCount val="1"/>
                <c:pt idx="0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AF-4A2F-A41B-FD15E64F30B3}"/>
            </c:ext>
          </c:extLst>
        </c:ser>
        <c:ser>
          <c:idx val="3"/>
          <c:order val="3"/>
          <c:tx>
            <c:strRef>
              <c:f>'📊 Dashboard'!$D$72</c:f>
              <c:strCache>
                <c:ptCount val="1"/>
                <c:pt idx="0">
                  <c:v>DCF Model</c:v>
                </c:pt>
              </c:strCache>
            </c:strRef>
          </c:tx>
          <c:spPr>
            <a:gradFill flip="none" rotWithShape="1">
              <a:gsLst>
                <a:gs pos="0">
                  <a:schemeClr val="accent4"/>
                </a:gs>
                <a:gs pos="75000">
                  <a:schemeClr val="accent4">
                    <a:lumMod val="60000"/>
                    <a:lumOff val="40000"/>
                  </a:schemeClr>
                </a:gs>
                <a:gs pos="51000">
                  <a:schemeClr val="accent4">
                    <a:alpha val="75000"/>
                  </a:schemeClr>
                </a:gs>
                <a:gs pos="100000">
                  <a:schemeClr val="accent4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'📊 Dashboard'!$E$72</c:f>
              <c:numCache>
                <c:formatCode>General</c:formatCode>
                <c:ptCount val="1"/>
                <c:pt idx="0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7AF-4A2F-A41B-FD15E64F3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757937456"/>
        <c:axId val="757945136"/>
      </c:barChart>
      <c:catAx>
        <c:axId val="757937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945136"/>
        <c:crosses val="autoZero"/>
        <c:auto val="1"/>
        <c:lblAlgn val="ctr"/>
        <c:lblOffset val="100"/>
        <c:noMultiLvlLbl val="0"/>
      </c:catAx>
      <c:valAx>
        <c:axId val="757945136"/>
        <c:scaling>
          <c:orientation val="minMax"/>
          <c:max val="120"/>
          <c:min val="70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937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'📊 Dashboard'!$K$70</c:f>
              <c:strCache>
                <c:ptCount val="1"/>
                <c:pt idx="0">
                  <c:v>EBITDA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'📊 Dashboard'!$J$71:$J$73</c:f>
              <c:strCache>
                <c:ptCount val="3"/>
                <c:pt idx="0">
                  <c:v>FY 24</c:v>
                </c:pt>
                <c:pt idx="1">
                  <c:v>FY 25</c:v>
                </c:pt>
                <c:pt idx="2">
                  <c:v>FY 26</c:v>
                </c:pt>
              </c:strCache>
            </c:strRef>
          </c:cat>
          <c:val>
            <c:numRef>
              <c:f>'📊 Dashboard'!$K$71:$K$73</c:f>
              <c:numCache>
                <c:formatCode>General</c:formatCode>
                <c:ptCount val="3"/>
                <c:pt idx="0" formatCode="0.00%">
                  <c:v>5.7200000000000001E-2</c:v>
                </c:pt>
                <c:pt idx="1">
                  <c:v>27.05</c:v>
                </c:pt>
                <c:pt idx="2">
                  <c:v>32.64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36-4BD5-9836-20C26A683263}"/>
            </c:ext>
          </c:extLst>
        </c:ser>
        <c:ser>
          <c:idx val="1"/>
          <c:order val="1"/>
          <c:tx>
            <c:strRef>
              <c:f>'📊 Dashboard'!$L$70</c:f>
              <c:strCache>
                <c:ptCount val="1"/>
                <c:pt idx="0">
                  <c:v>PAT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'📊 Dashboard'!$J$71:$J$73</c:f>
              <c:strCache>
                <c:ptCount val="3"/>
                <c:pt idx="0">
                  <c:v>FY 24</c:v>
                </c:pt>
                <c:pt idx="1">
                  <c:v>FY 25</c:v>
                </c:pt>
                <c:pt idx="2">
                  <c:v>FY 26</c:v>
                </c:pt>
              </c:strCache>
            </c:strRef>
          </c:cat>
          <c:val>
            <c:numRef>
              <c:f>'📊 Dashboard'!$L$71:$L$73</c:f>
              <c:numCache>
                <c:formatCode>General</c:formatCode>
                <c:ptCount val="3"/>
                <c:pt idx="0">
                  <c:v>3.5</c:v>
                </c:pt>
                <c:pt idx="1">
                  <c:v>19.43</c:v>
                </c:pt>
                <c:pt idx="2">
                  <c:v>21.25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36-4BD5-9836-20C26A6832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437648"/>
        <c:axId val="1056438128"/>
      </c:lineChart>
      <c:catAx>
        <c:axId val="1056437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438128"/>
        <c:crosses val="autoZero"/>
        <c:auto val="1"/>
        <c:lblAlgn val="ctr"/>
        <c:lblOffset val="100"/>
        <c:noMultiLvlLbl val="0"/>
      </c:catAx>
      <c:valAx>
        <c:axId val="105643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437648"/>
        <c:crosses val="autoZero"/>
        <c:crossBetween val="between"/>
        <c:dispUnits>
          <c:builtInUnit val="hundre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518160</xdr:colOff>
      <xdr:row>10</xdr:row>
      <xdr:rowOff>91440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741E343-3F50-F9F6-B1BA-337E6806B4C8}"/>
            </a:ext>
          </a:extLst>
        </xdr:cNvPr>
        <xdr:cNvSpPr txBox="1"/>
      </xdr:nvSpPr>
      <xdr:spPr>
        <a:xfrm>
          <a:off x="4785360" y="8229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0</xdr:col>
      <xdr:colOff>495300</xdr:colOff>
      <xdr:row>11</xdr:row>
      <xdr:rowOff>121920</xdr:rowOff>
    </xdr:from>
    <xdr:to>
      <xdr:col>1</xdr:col>
      <xdr:colOff>1406071</xdr:colOff>
      <xdr:row>16</xdr:row>
      <xdr:rowOff>137160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D6154768-B2AF-3A54-04F0-3F4D00EDDEB4}"/>
            </a:ext>
          </a:extLst>
        </xdr:cNvPr>
        <xdr:cNvGrpSpPr/>
      </xdr:nvGrpSpPr>
      <xdr:grpSpPr>
        <a:xfrm>
          <a:off x="495300" y="2135777"/>
          <a:ext cx="1563914" cy="958669"/>
          <a:chOff x="1196340" y="1325880"/>
          <a:chExt cx="1516380" cy="960120"/>
        </a:xfrm>
        <a:solidFill>
          <a:schemeClr val="tx2">
            <a:lumMod val="60000"/>
            <a:lumOff val="40000"/>
          </a:schemeClr>
        </a:solidFill>
      </xdr:grpSpPr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8D98CD22-B2DB-845A-B1E6-ACD20196C4D2}"/>
              </a:ext>
            </a:extLst>
          </xdr:cNvPr>
          <xdr:cNvSpPr txBox="1"/>
        </xdr:nvSpPr>
        <xdr:spPr>
          <a:xfrm>
            <a:off x="1310640" y="1325880"/>
            <a:ext cx="1295400" cy="289560"/>
          </a:xfrm>
          <a:prstGeom prst="rect">
            <a:avLst/>
          </a:prstGeom>
          <a:grpFill/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800"/>
              <a:t> Issue</a:t>
            </a:r>
            <a:r>
              <a:rPr lang="en-IN" sz="1800" baseline="0"/>
              <a:t> price</a:t>
            </a:r>
            <a:endParaRPr lang="en-IN" sz="1800"/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9BBB2B19-7068-4A12-8BEC-8664BE3AD05C}"/>
              </a:ext>
            </a:extLst>
          </xdr:cNvPr>
          <xdr:cNvSpPr txBox="1"/>
        </xdr:nvSpPr>
        <xdr:spPr>
          <a:xfrm>
            <a:off x="1196340" y="1630680"/>
            <a:ext cx="1516380" cy="335280"/>
          </a:xfrm>
          <a:prstGeom prst="rect">
            <a:avLst/>
          </a:prstGeom>
          <a:grpFill/>
          <a:ln w="9525" cmpd="sng">
            <a:solidFill>
              <a:schemeClr val="lt1">
                <a:shade val="50000"/>
              </a:schemeClr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800">
                <a:latin typeface="Impact" panose="020B0806030902050204" pitchFamily="34" charset="0"/>
              </a:rPr>
              <a:t>          </a:t>
            </a:r>
            <a:r>
              <a:rPr lang="en-IN" sz="2000" baseline="0">
                <a:latin typeface="Impact" panose="020B0806030902050204" pitchFamily="34" charset="0"/>
              </a:rPr>
              <a:t> </a:t>
            </a:r>
            <a:r>
              <a:rPr lang="en-IN" sz="20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₹</a:t>
            </a:r>
            <a:r>
              <a:rPr lang="en-IN" sz="2000">
                <a:latin typeface="Impact" panose="020B0806030902050204" pitchFamily="34" charset="0"/>
              </a:rPr>
              <a:t>103</a:t>
            </a:r>
            <a:endParaRPr lang="en-IN" sz="1800">
              <a:latin typeface="Impact" panose="020B0806030902050204" pitchFamily="34" charset="0"/>
            </a:endParaRP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A1C4FCD4-6774-38AA-EDE6-8BCA05C3ADA6}"/>
              </a:ext>
            </a:extLst>
          </xdr:cNvPr>
          <xdr:cNvSpPr txBox="1"/>
        </xdr:nvSpPr>
        <xdr:spPr>
          <a:xfrm>
            <a:off x="1325880" y="2011680"/>
            <a:ext cx="1287780" cy="274320"/>
          </a:xfrm>
          <a:prstGeom prst="rect">
            <a:avLst/>
          </a:prstGeom>
          <a:grp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1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Band: ₹98–₹103</a:t>
            </a:r>
            <a:endParaRPr lang="en-IN" sz="1100"/>
          </a:p>
        </xdr:txBody>
      </xdr:sp>
    </xdr:grpSp>
    <xdr:clientData/>
  </xdr:twoCellAnchor>
  <xdr:twoCellAnchor>
    <xdr:from>
      <xdr:col>2</xdr:col>
      <xdr:colOff>590368</xdr:colOff>
      <xdr:row>11</xdr:row>
      <xdr:rowOff>145142</xdr:rowOff>
    </xdr:from>
    <xdr:to>
      <xdr:col>2</xdr:col>
      <xdr:colOff>2158999</xdr:colOff>
      <xdr:row>16</xdr:row>
      <xdr:rowOff>137159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E2AC3BEE-6691-4404-B782-421619D4F234}"/>
            </a:ext>
          </a:extLst>
        </xdr:cNvPr>
        <xdr:cNvGrpSpPr/>
      </xdr:nvGrpSpPr>
      <xdr:grpSpPr>
        <a:xfrm>
          <a:off x="2976154" y="2158999"/>
          <a:ext cx="1568631" cy="935446"/>
          <a:chOff x="1196340" y="1325880"/>
          <a:chExt cx="1516380" cy="960120"/>
        </a:xfrm>
        <a:solidFill>
          <a:schemeClr val="tx2">
            <a:lumMod val="60000"/>
            <a:lumOff val="40000"/>
          </a:schemeClr>
        </a:solidFill>
      </xdr:grpSpPr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21659362-BC55-CA98-3840-9555AB6E1587}"/>
              </a:ext>
            </a:extLst>
          </xdr:cNvPr>
          <xdr:cNvSpPr txBox="1"/>
        </xdr:nvSpPr>
        <xdr:spPr>
          <a:xfrm>
            <a:off x="1310640" y="1325880"/>
            <a:ext cx="1295400" cy="289560"/>
          </a:xfrm>
          <a:prstGeom prst="rect">
            <a:avLst/>
          </a:prstGeom>
          <a:grpFill/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800"/>
              <a:t>Listing</a:t>
            </a:r>
            <a:r>
              <a:rPr lang="en-IN" sz="1800" baseline="0"/>
              <a:t> price</a:t>
            </a:r>
            <a:endParaRPr lang="en-IN" sz="1800"/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827C8A99-3B70-7224-256E-6E92E27A80BF}"/>
              </a:ext>
            </a:extLst>
          </xdr:cNvPr>
          <xdr:cNvSpPr txBox="1"/>
        </xdr:nvSpPr>
        <xdr:spPr>
          <a:xfrm>
            <a:off x="1196340" y="1630680"/>
            <a:ext cx="1516380" cy="335280"/>
          </a:xfrm>
          <a:prstGeom prst="rect">
            <a:avLst/>
          </a:prstGeom>
          <a:grpFill/>
          <a:ln w="9525" cmpd="sng">
            <a:solidFill>
              <a:schemeClr val="lt1">
                <a:shade val="50000"/>
              </a:schemeClr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800">
                <a:latin typeface="Impact" panose="020B0806030902050204" pitchFamily="34" charset="0"/>
              </a:rPr>
              <a:t>          </a:t>
            </a:r>
            <a:r>
              <a:rPr lang="en-IN" sz="20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₹</a:t>
            </a:r>
            <a:r>
              <a:rPr lang="en-IN" sz="2000">
                <a:latin typeface="Impact" panose="020B0806030902050204" pitchFamily="34" charset="0"/>
              </a:rPr>
              <a:t>151</a:t>
            </a:r>
            <a:endParaRPr lang="en-IN" sz="1800">
              <a:latin typeface="Impact" panose="020B0806030902050204" pitchFamily="34" charset="0"/>
            </a:endParaRPr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F3ED82BF-D372-8CF9-1AC9-3AA375584A0F}"/>
              </a:ext>
            </a:extLst>
          </xdr:cNvPr>
          <xdr:cNvSpPr txBox="1"/>
        </xdr:nvSpPr>
        <xdr:spPr>
          <a:xfrm>
            <a:off x="1325880" y="2011680"/>
            <a:ext cx="1287780" cy="274320"/>
          </a:xfrm>
          <a:prstGeom prst="rect">
            <a:avLst/>
          </a:prstGeom>
          <a:grp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1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Band: ₹98–₹103</a:t>
            </a:r>
            <a:endParaRPr lang="en-IN" sz="1100"/>
          </a:p>
        </xdr:txBody>
      </xdr:sp>
    </xdr:grpSp>
    <xdr:clientData/>
  </xdr:twoCellAnchor>
  <xdr:twoCellAnchor>
    <xdr:from>
      <xdr:col>2</xdr:col>
      <xdr:colOff>3082117</xdr:colOff>
      <xdr:row>11</xdr:row>
      <xdr:rowOff>121920</xdr:rowOff>
    </xdr:from>
    <xdr:to>
      <xdr:col>3</xdr:col>
      <xdr:colOff>798295</xdr:colOff>
      <xdr:row>16</xdr:row>
      <xdr:rowOff>152400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71991A0A-11BE-449D-BA7E-DEEFD0EC5F56}"/>
            </a:ext>
          </a:extLst>
        </xdr:cNvPr>
        <xdr:cNvGrpSpPr/>
      </xdr:nvGrpSpPr>
      <xdr:grpSpPr>
        <a:xfrm>
          <a:off x="5467903" y="2135777"/>
          <a:ext cx="1553392" cy="973909"/>
          <a:chOff x="1196340" y="1325880"/>
          <a:chExt cx="1516380" cy="960120"/>
        </a:xfrm>
        <a:solidFill>
          <a:schemeClr val="tx2">
            <a:lumMod val="60000"/>
            <a:lumOff val="40000"/>
          </a:schemeClr>
        </a:solidFill>
      </xdr:grpSpPr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36615FD8-71DF-2575-9985-3E59763C9724}"/>
              </a:ext>
            </a:extLst>
          </xdr:cNvPr>
          <xdr:cNvSpPr txBox="1"/>
        </xdr:nvSpPr>
        <xdr:spPr>
          <a:xfrm>
            <a:off x="1310640" y="1325880"/>
            <a:ext cx="1295400" cy="289560"/>
          </a:xfrm>
          <a:prstGeom prst="rect">
            <a:avLst/>
          </a:prstGeom>
          <a:grpFill/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800"/>
              <a:t> </a:t>
            </a:r>
            <a:r>
              <a:rPr lang="en-IN" sz="1800" baseline="0"/>
              <a:t> </a:t>
            </a:r>
            <a:r>
              <a:rPr lang="en-IN" sz="1800"/>
              <a:t> Issue size</a:t>
            </a: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58E9A23F-F796-A696-BCDF-DB8577117925}"/>
              </a:ext>
            </a:extLst>
          </xdr:cNvPr>
          <xdr:cNvSpPr txBox="1"/>
        </xdr:nvSpPr>
        <xdr:spPr>
          <a:xfrm>
            <a:off x="1196340" y="1630680"/>
            <a:ext cx="1516380" cy="335280"/>
          </a:xfrm>
          <a:prstGeom prst="rect">
            <a:avLst/>
          </a:prstGeom>
          <a:grpFill/>
          <a:ln w="9525" cmpd="sng">
            <a:solidFill>
              <a:schemeClr val="lt1">
                <a:shade val="50000"/>
              </a:schemeClr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800">
                <a:latin typeface="Impact" panose="020B0806030902050204" pitchFamily="34" charset="0"/>
              </a:rPr>
              <a:t>      </a:t>
            </a:r>
            <a:r>
              <a:rPr lang="en-IN" sz="1800" baseline="0">
                <a:latin typeface="Impact" panose="020B0806030902050204" pitchFamily="34" charset="0"/>
              </a:rPr>
              <a:t> </a:t>
            </a:r>
            <a:r>
              <a:rPr lang="en-IN" sz="20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₹</a:t>
            </a:r>
            <a:r>
              <a:rPr lang="en-IN" sz="2000">
                <a:latin typeface="Impact" panose="020B0806030902050204" pitchFamily="34" charset="0"/>
              </a:rPr>
              <a:t>54.3 cr</a:t>
            </a:r>
            <a:endParaRPr lang="en-IN" sz="1800">
              <a:latin typeface="Impact" panose="020B0806030902050204" pitchFamily="34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8C367B09-57D8-5238-69DA-F342A466C8A0}"/>
              </a:ext>
            </a:extLst>
          </xdr:cNvPr>
          <xdr:cNvSpPr txBox="1"/>
        </xdr:nvSpPr>
        <xdr:spPr>
          <a:xfrm>
            <a:off x="1325880" y="2011680"/>
            <a:ext cx="1287780" cy="274320"/>
          </a:xfrm>
          <a:prstGeom prst="rect">
            <a:avLst/>
          </a:prstGeom>
          <a:grp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1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 Band: ₹98–₹103</a:t>
            </a:r>
            <a:endParaRPr lang="en-IN" sz="1100"/>
          </a:p>
        </xdr:txBody>
      </xdr:sp>
    </xdr:grpSp>
    <xdr:clientData/>
  </xdr:twoCellAnchor>
  <xdr:twoCellAnchor>
    <xdr:from>
      <xdr:col>4</xdr:col>
      <xdr:colOff>441610</xdr:colOff>
      <xdr:row>11</xdr:row>
      <xdr:rowOff>137160</xdr:rowOff>
    </xdr:from>
    <xdr:to>
      <xdr:col>5</xdr:col>
      <xdr:colOff>1251860</xdr:colOff>
      <xdr:row>16</xdr:row>
      <xdr:rowOff>152400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57BCA754-8245-44D8-9BE3-B731879D9C0E}"/>
            </a:ext>
          </a:extLst>
        </xdr:cNvPr>
        <xdr:cNvGrpSpPr/>
      </xdr:nvGrpSpPr>
      <xdr:grpSpPr>
        <a:xfrm>
          <a:off x="7934610" y="2151017"/>
          <a:ext cx="1535964" cy="958669"/>
          <a:chOff x="1196340" y="1325880"/>
          <a:chExt cx="1531620" cy="960120"/>
        </a:xfrm>
        <a:solidFill>
          <a:schemeClr val="tx2">
            <a:lumMod val="60000"/>
            <a:lumOff val="40000"/>
          </a:schemeClr>
        </a:solidFill>
      </xdr:grpSpPr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2BCA89C2-D99F-EF31-E070-CBB6535C60CE}"/>
              </a:ext>
            </a:extLst>
          </xdr:cNvPr>
          <xdr:cNvSpPr txBox="1"/>
        </xdr:nvSpPr>
        <xdr:spPr>
          <a:xfrm>
            <a:off x="1310640" y="1325880"/>
            <a:ext cx="1417320" cy="289560"/>
          </a:xfrm>
          <a:prstGeom prst="rect">
            <a:avLst/>
          </a:prstGeom>
          <a:grpFill/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4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Market cap (IPO)</a:t>
            </a:r>
            <a:endParaRPr lang="en-IN" sz="2400"/>
          </a:p>
        </xdr:txBody>
      </xdr:sp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04C97C2D-8533-65D7-C9C2-978E9499BF18}"/>
              </a:ext>
            </a:extLst>
          </xdr:cNvPr>
          <xdr:cNvSpPr txBox="1"/>
        </xdr:nvSpPr>
        <xdr:spPr>
          <a:xfrm>
            <a:off x="1196340" y="1630680"/>
            <a:ext cx="1516380" cy="335280"/>
          </a:xfrm>
          <a:prstGeom prst="rect">
            <a:avLst/>
          </a:prstGeom>
          <a:grpFill/>
          <a:ln w="9525" cmpd="sng">
            <a:solidFill>
              <a:schemeClr val="lt1">
                <a:shade val="50000"/>
              </a:schemeClr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800">
                <a:latin typeface="Impact" panose="020B0806030902050204" pitchFamily="34" charset="0"/>
              </a:rPr>
              <a:t>       </a:t>
            </a:r>
            <a:r>
              <a:rPr lang="en-IN" sz="1800" baseline="0">
                <a:latin typeface="Impact" panose="020B0806030902050204" pitchFamily="34" charset="0"/>
              </a:rPr>
              <a:t> </a:t>
            </a:r>
            <a:r>
              <a:rPr lang="en-IN" sz="20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₹</a:t>
            </a:r>
            <a:r>
              <a:rPr lang="en-IN" sz="2000">
                <a:latin typeface="Impact" panose="020B0806030902050204" pitchFamily="34" charset="0"/>
              </a:rPr>
              <a:t>201 cr</a:t>
            </a:r>
            <a:endParaRPr lang="en-IN" sz="1800">
              <a:latin typeface="Impact" panose="020B0806030902050204" pitchFamily="34" charset="0"/>
            </a:endParaRPr>
          </a:p>
        </xdr:txBody>
      </xdr: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067147FD-563E-08EC-4953-128D8F130DBD}"/>
              </a:ext>
            </a:extLst>
          </xdr:cNvPr>
          <xdr:cNvSpPr txBox="1"/>
        </xdr:nvSpPr>
        <xdr:spPr>
          <a:xfrm>
            <a:off x="1325880" y="2011680"/>
            <a:ext cx="1287780" cy="274320"/>
          </a:xfrm>
          <a:prstGeom prst="rect">
            <a:avLst/>
          </a:prstGeom>
          <a:grp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1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Band: ₹98–₹103</a:t>
            </a:r>
            <a:endParaRPr lang="en-IN" sz="1100"/>
          </a:p>
        </xdr:txBody>
      </xdr:sp>
    </xdr:grpSp>
    <xdr:clientData/>
  </xdr:twoCellAnchor>
  <xdr:twoCellAnchor>
    <xdr:from>
      <xdr:col>5</xdr:col>
      <xdr:colOff>2173536</xdr:colOff>
      <xdr:row>11</xdr:row>
      <xdr:rowOff>144780</xdr:rowOff>
    </xdr:from>
    <xdr:to>
      <xdr:col>7</xdr:col>
      <xdr:colOff>393359</xdr:colOff>
      <xdr:row>16</xdr:row>
      <xdr:rowOff>160020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A8B406EA-1E72-416B-A071-049EE18C0055}"/>
            </a:ext>
          </a:extLst>
        </xdr:cNvPr>
        <xdr:cNvGrpSpPr/>
      </xdr:nvGrpSpPr>
      <xdr:grpSpPr>
        <a:xfrm>
          <a:off x="10392250" y="2158637"/>
          <a:ext cx="1512752" cy="958669"/>
          <a:chOff x="1196340" y="1325880"/>
          <a:chExt cx="1516380" cy="960120"/>
        </a:xfrm>
        <a:solidFill>
          <a:schemeClr val="tx2">
            <a:lumMod val="60000"/>
            <a:lumOff val="40000"/>
          </a:schemeClr>
        </a:solidFill>
      </xdr:grpSpPr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1526B11F-3ECC-27C7-F2B6-34314586ED21}"/>
              </a:ext>
            </a:extLst>
          </xdr:cNvPr>
          <xdr:cNvSpPr txBox="1"/>
        </xdr:nvSpPr>
        <xdr:spPr>
          <a:xfrm>
            <a:off x="1310640" y="1325880"/>
            <a:ext cx="1295400" cy="289560"/>
          </a:xfrm>
          <a:prstGeom prst="rect">
            <a:avLst/>
          </a:prstGeom>
          <a:grpFill/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800"/>
              <a:t>Subscribed</a:t>
            </a: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4984D525-C999-94D7-4175-3467079AEE8B}"/>
              </a:ext>
            </a:extLst>
          </xdr:cNvPr>
          <xdr:cNvSpPr txBox="1"/>
        </xdr:nvSpPr>
        <xdr:spPr>
          <a:xfrm>
            <a:off x="1196340" y="1630680"/>
            <a:ext cx="1516380" cy="335280"/>
          </a:xfrm>
          <a:prstGeom prst="rect">
            <a:avLst/>
          </a:prstGeom>
          <a:grpFill/>
          <a:ln w="9525" cmpd="sng">
            <a:solidFill>
              <a:schemeClr val="lt1">
                <a:shade val="50000"/>
              </a:schemeClr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800">
                <a:latin typeface="Impact" panose="020B0806030902050204" pitchFamily="34" charset="0"/>
              </a:rPr>
              <a:t>          304</a:t>
            </a:r>
            <a:r>
              <a:rPr lang="en-IN" sz="18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×</a:t>
            </a:r>
            <a:endParaRPr lang="en-IN" sz="1800">
              <a:latin typeface="Impact" panose="020B0806030902050204" pitchFamily="34" charset="0"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6DB5C605-145E-ED08-608B-62BCB031AF87}"/>
              </a:ext>
            </a:extLst>
          </xdr:cNvPr>
          <xdr:cNvSpPr txBox="1"/>
        </xdr:nvSpPr>
        <xdr:spPr>
          <a:xfrm>
            <a:off x="1280160" y="2011680"/>
            <a:ext cx="1424940" cy="274320"/>
          </a:xfrm>
          <a:prstGeom prst="rect">
            <a:avLst/>
          </a:prstGeom>
          <a:grp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1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NII 450× · QIB 186×</a:t>
            </a:r>
            <a:endParaRPr lang="en-IN" sz="1100"/>
          </a:p>
        </xdr:txBody>
      </xdr:sp>
    </xdr:grpSp>
    <xdr:clientData/>
  </xdr:twoCellAnchor>
  <xdr:twoCellAnchor>
    <xdr:from>
      <xdr:col>9</xdr:col>
      <xdr:colOff>101973</xdr:colOff>
      <xdr:row>11</xdr:row>
      <xdr:rowOff>144780</xdr:rowOff>
    </xdr:from>
    <xdr:to>
      <xdr:col>11</xdr:col>
      <xdr:colOff>399153</xdr:colOff>
      <xdr:row>16</xdr:row>
      <xdr:rowOff>160020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4F1C80AE-75B6-4834-B986-BD038DBD62C0}"/>
            </a:ext>
          </a:extLst>
        </xdr:cNvPr>
        <xdr:cNvGrpSpPr/>
      </xdr:nvGrpSpPr>
      <xdr:grpSpPr>
        <a:xfrm>
          <a:off x="12919902" y="2158637"/>
          <a:ext cx="1512751" cy="958669"/>
          <a:chOff x="1196340" y="1325880"/>
          <a:chExt cx="1516380" cy="960120"/>
        </a:xfrm>
        <a:solidFill>
          <a:schemeClr val="tx2">
            <a:lumMod val="60000"/>
            <a:lumOff val="40000"/>
          </a:schemeClr>
        </a:solidFill>
      </xdr:grpSpPr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677A6C74-A431-6EAD-4CDA-210075345CBA}"/>
              </a:ext>
            </a:extLst>
          </xdr:cNvPr>
          <xdr:cNvSpPr txBox="1"/>
        </xdr:nvSpPr>
        <xdr:spPr>
          <a:xfrm>
            <a:off x="1310640" y="1325880"/>
            <a:ext cx="1295400" cy="289560"/>
          </a:xfrm>
          <a:prstGeom prst="rect">
            <a:avLst/>
          </a:prstGeom>
          <a:grpFill/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8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GMP peak</a:t>
            </a:r>
            <a:endParaRPr lang="en-IN" sz="32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1F223A50-C5E5-6C28-DBAD-02439E2EF466}"/>
              </a:ext>
            </a:extLst>
          </xdr:cNvPr>
          <xdr:cNvSpPr txBox="1"/>
        </xdr:nvSpPr>
        <xdr:spPr>
          <a:xfrm>
            <a:off x="1196340" y="1630680"/>
            <a:ext cx="1516380" cy="335280"/>
          </a:xfrm>
          <a:prstGeom prst="rect">
            <a:avLst/>
          </a:prstGeom>
          <a:grpFill/>
          <a:ln w="9525" cmpd="sng">
            <a:solidFill>
              <a:schemeClr val="lt1">
                <a:shade val="50000"/>
              </a:schemeClr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IN" sz="1800">
                <a:solidFill>
                  <a:schemeClr val="dk1"/>
                </a:solidFill>
                <a:effectLst/>
                <a:latin typeface="Impact" panose="020B0806030902050204" pitchFamily="34" charset="0"/>
                <a:ea typeface="+mn-ea"/>
                <a:cs typeface="+mn-cs"/>
              </a:rPr>
              <a:t>       </a:t>
            </a:r>
            <a:r>
              <a:rPr lang="en-IN" sz="1800" baseline="0">
                <a:solidFill>
                  <a:schemeClr val="dk1"/>
                </a:solidFill>
                <a:effectLst/>
                <a:latin typeface="Impact" panose="020B0806030902050204" pitchFamily="34" charset="0"/>
                <a:ea typeface="+mn-ea"/>
                <a:cs typeface="+mn-cs"/>
              </a:rPr>
              <a:t> </a:t>
            </a:r>
            <a:r>
              <a:rPr lang="en-IN" sz="1800" b="0" i="0">
                <a:solidFill>
                  <a:schemeClr val="dk1"/>
                </a:solidFill>
                <a:effectLst/>
                <a:latin typeface="Impact" panose="020B0806030902050204" pitchFamily="34" charset="0"/>
                <a:ea typeface="+mn-ea"/>
                <a:cs typeface="+mn-cs"/>
              </a:rPr>
              <a:t>₹</a:t>
            </a:r>
            <a:r>
              <a:rPr lang="en-IN" sz="1800">
                <a:solidFill>
                  <a:schemeClr val="dk1"/>
                </a:solidFill>
                <a:effectLst/>
                <a:latin typeface="Impact" panose="020B0806030902050204" pitchFamily="34" charset="0"/>
                <a:ea typeface="+mn-ea"/>
                <a:cs typeface="+mn-cs"/>
              </a:rPr>
              <a:t>201 cr</a:t>
            </a:r>
            <a:endParaRPr lang="en-IN" sz="3200">
              <a:effectLst/>
              <a:latin typeface="Impact" panose="020B0806030902050204" pitchFamily="34" charset="0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IN" sz="1800">
              <a:effectLst/>
            </a:endParaRPr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9DCA5E38-4468-3D97-B75B-41E9454F76D3}"/>
              </a:ext>
            </a:extLst>
          </xdr:cNvPr>
          <xdr:cNvSpPr txBox="1"/>
        </xdr:nvSpPr>
        <xdr:spPr>
          <a:xfrm>
            <a:off x="1280160" y="2011680"/>
            <a:ext cx="1424940" cy="274320"/>
          </a:xfrm>
          <a:prstGeom prst="rect">
            <a:avLst/>
          </a:prstGeom>
          <a:grp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2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    on listing day</a:t>
            </a:r>
            <a:endParaRPr lang="en-IN" sz="1200"/>
          </a:p>
        </xdr:txBody>
      </xdr:sp>
    </xdr:grpSp>
    <xdr:clientData/>
  </xdr:twoCellAnchor>
  <xdr:twoCellAnchor>
    <xdr:from>
      <xdr:col>2</xdr:col>
      <xdr:colOff>335280</xdr:colOff>
      <xdr:row>20</xdr:row>
      <xdr:rowOff>163830</xdr:rowOff>
    </xdr:from>
    <xdr:to>
      <xdr:col>8</xdr:col>
      <xdr:colOff>373380</xdr:colOff>
      <xdr:row>35</xdr:row>
      <xdr:rowOff>163830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F4FE0966-B1BA-8C6B-20E6-4DD03C39F0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341448</xdr:colOff>
      <xdr:row>31</xdr:row>
      <xdr:rowOff>92710</xdr:rowOff>
    </xdr:from>
    <xdr:to>
      <xdr:col>17</xdr:col>
      <xdr:colOff>478608</xdr:colOff>
      <xdr:row>46</xdr:row>
      <xdr:rowOff>46989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527925AE-FCD1-388C-85C0-65A05AD6D3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889362</xdr:colOff>
      <xdr:row>52</xdr:row>
      <xdr:rowOff>81825</xdr:rowOff>
    </xdr:from>
    <xdr:to>
      <xdr:col>6</xdr:col>
      <xdr:colOff>13062</xdr:colOff>
      <xdr:row>67</xdr:row>
      <xdr:rowOff>81825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C129F77B-421C-4884-D3AD-930D411FED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687252</xdr:colOff>
      <xdr:row>51</xdr:row>
      <xdr:rowOff>154032</xdr:rowOff>
    </xdr:from>
    <xdr:to>
      <xdr:col>14</xdr:col>
      <xdr:colOff>199572</xdr:colOff>
      <xdr:row>66</xdr:row>
      <xdr:rowOff>154033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6CA395F8-C066-7A77-A625-FEA3AA6C2A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0.41525</cdr:x>
      <cdr:y>0.44862</cdr:y>
    </cdr:from>
    <cdr:to>
      <cdr:x>0.62215</cdr:x>
      <cdr:y>0.6349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414CD50-19AE-89E0-54DD-F95BB6ABC0B2}"/>
            </a:ext>
          </a:extLst>
        </cdr:cNvPr>
        <cdr:cNvSpPr txBox="1"/>
      </cdr:nvSpPr>
      <cdr:spPr>
        <a:xfrm xmlns:a="http://schemas.openxmlformats.org/drawingml/2006/main">
          <a:off x="1899622" y="1986352"/>
          <a:ext cx="946500" cy="8247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2400" b="0" kern="120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54 Cr</a:t>
          </a:r>
        </a:p>
        <a:p xmlns:a="http://schemas.openxmlformats.org/drawingml/2006/main">
          <a:r>
            <a:rPr lang="en-IN" sz="1100" b="0" kern="120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Proceeds</a:t>
          </a:r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B058E41-7480-48C1-9214-B5056E9554EA}" name="Table3" displayName="Table3" ref="C44:D49" totalsRowShown="0" headerRowDxfId="5" headerRowBorderDxfId="3" tableBorderDxfId="4" totalsRowBorderDxfId="2">
  <autoFilter ref="C44:D49" xr:uid="{5B058E41-7480-48C1-9214-B5056E9554EA}"/>
  <tableColumns count="2">
    <tableColumn id="1" xr3:uid="{155036CA-E1DD-4156-A8A0-25AFF680AE9F}" name="Profitability" dataDxfId="1"/>
    <tableColumn id="2" xr3:uid="{58988323-0D85-4D79-9CD6-FA383A5A3497}" name="Column1" dataDxfId="0"/>
  </tableColumns>
  <tableStyleInfo name="TableStyleDark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429AE27-E54D-4352-AA12-BBA74F59D81B}" name="Table4" displayName="Table4" ref="F44:G49" totalsRowShown="0" headerRowDxfId="11" headerRowBorderDxfId="10" tableBorderDxfId="9" totalsRowBorderDxfId="8">
  <autoFilter ref="F44:G49" xr:uid="{5429AE27-E54D-4352-AA12-BBA74F59D81B}"/>
  <tableColumns count="2">
    <tableColumn id="1" xr3:uid="{3D04E5A6-66CC-4803-B66A-C4FBFF47EC69}" name="Balance sheet" dataDxfId="7"/>
    <tableColumn id="2" xr3:uid="{CDBDBC31-5130-4A9B-B085-599BCB68D476}" name="Column1" dataDxfId="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5"/>
  <sheetViews>
    <sheetView showGridLines="0" tabSelected="1" topLeftCell="A91" zoomScale="84" zoomScaleNormal="85" workbookViewId="0">
      <selection activeCell="C73" sqref="C73"/>
    </sheetView>
  </sheetViews>
  <sheetFormatPr defaultRowHeight="14.4" x14ac:dyDescent="0.3"/>
  <cols>
    <col min="1" max="1" width="9.5546875" style="1" customWidth="1"/>
    <col min="2" max="2" width="25.21875" style="1" customWidth="1"/>
    <col min="3" max="3" width="55.88671875" style="1" customWidth="1"/>
    <col min="4" max="4" width="18.5546875" style="1" customWidth="1"/>
    <col min="5" max="5" width="10.5546875" style="1" customWidth="1"/>
    <col min="6" max="6" width="36.5546875" style="1" customWidth="1"/>
    <col min="7" max="7" width="11.5546875" style="1" bestFit="1" customWidth="1"/>
    <col min="8" max="8" width="10.21875" style="1" customWidth="1"/>
    <col min="9" max="11" width="8.88671875" style="1"/>
    <col min="12" max="12" width="8.88671875" style="1" customWidth="1"/>
    <col min="13" max="14" width="8.88671875" style="1"/>
    <col min="15" max="15" width="8.88671875" style="1" customWidth="1"/>
    <col min="16" max="16" width="11.33203125" style="1" bestFit="1" customWidth="1"/>
    <col min="17" max="17" width="11.33203125" style="1" customWidth="1"/>
    <col min="18" max="18" width="56.88671875" style="1" customWidth="1"/>
    <col min="19" max="16384" width="8.88671875" style="1"/>
  </cols>
  <sheetData>
    <row r="1" spans="1:15" x14ac:dyDescent="0.3">
      <c r="A1" s="53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</row>
    <row r="2" spans="1:15" x14ac:dyDescent="0.3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x14ac:dyDescent="0.3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</row>
    <row r="4" spans="1:15" x14ac:dyDescent="0.3">
      <c r="A4" s="54" t="s">
        <v>1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</row>
    <row r="5" spans="1:15" x14ac:dyDescent="0.3">
      <c r="A5" s="52"/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</row>
    <row r="6" spans="1:15" x14ac:dyDescent="0.3">
      <c r="A6" s="76" t="s">
        <v>88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</row>
    <row r="7" spans="1:15" ht="15.6" x14ac:dyDescent="0.3">
      <c r="D7" s="77" t="s">
        <v>89</v>
      </c>
      <c r="E7" s="78" t="s">
        <v>35</v>
      </c>
      <c r="F7" s="78"/>
    </row>
    <row r="12" spans="1:15" x14ac:dyDescent="0.3">
      <c r="G12" s="2"/>
    </row>
    <row r="13" spans="1:15" ht="16.8" x14ac:dyDescent="0.3">
      <c r="G13" s="3"/>
    </row>
    <row r="14" spans="1:15" x14ac:dyDescent="0.3">
      <c r="G14" s="4"/>
    </row>
    <row r="15" spans="1:15" x14ac:dyDescent="0.3">
      <c r="C15" s="5"/>
    </row>
    <row r="17" spans="2:16" x14ac:dyDescent="0.3">
      <c r="C17" s="5"/>
    </row>
    <row r="19" spans="2:16" x14ac:dyDescent="0.3">
      <c r="C19" s="5"/>
    </row>
    <row r="20" spans="2:16" x14ac:dyDescent="0.3">
      <c r="B20" s="10" t="s">
        <v>2</v>
      </c>
      <c r="C20" s="11"/>
    </row>
    <row r="21" spans="2:16" x14ac:dyDescent="0.3">
      <c r="C21" s="5"/>
    </row>
    <row r="23" spans="2:16" x14ac:dyDescent="0.3">
      <c r="C23" s="5"/>
    </row>
    <row r="24" spans="2:16" x14ac:dyDescent="0.3">
      <c r="K24" s="9"/>
      <c r="L24" s="70" t="s">
        <v>3</v>
      </c>
      <c r="M24" s="71"/>
      <c r="N24" s="70" t="s">
        <v>4</v>
      </c>
      <c r="O24" s="71"/>
      <c r="P24" s="9" t="s">
        <v>5</v>
      </c>
    </row>
    <row r="25" spans="2:16" x14ac:dyDescent="0.3">
      <c r="C25" s="5"/>
      <c r="K25" s="9" t="s">
        <v>6</v>
      </c>
      <c r="L25" s="9">
        <v>20.329999999999998</v>
      </c>
      <c r="M25" s="9"/>
      <c r="N25" s="9">
        <v>1.1599999999999999</v>
      </c>
      <c r="O25" s="9"/>
      <c r="P25" s="9">
        <v>0.71</v>
      </c>
    </row>
    <row r="26" spans="2:16" x14ac:dyDescent="0.3">
      <c r="K26" s="9"/>
      <c r="L26" s="9"/>
      <c r="M26" s="9"/>
      <c r="N26" s="9"/>
      <c r="O26" s="9"/>
      <c r="P26" s="9"/>
    </row>
    <row r="27" spans="2:16" x14ac:dyDescent="0.3">
      <c r="C27" s="6"/>
      <c r="K27" s="9" t="s">
        <v>7</v>
      </c>
      <c r="L27" s="9">
        <v>36.39</v>
      </c>
      <c r="M27" s="9"/>
      <c r="N27" s="9">
        <v>9.84</v>
      </c>
      <c r="O27" s="9"/>
      <c r="P27" s="9">
        <v>7.07</v>
      </c>
    </row>
    <row r="28" spans="2:16" x14ac:dyDescent="0.3">
      <c r="C28" s="7"/>
      <c r="K28" s="9"/>
      <c r="L28" s="9"/>
      <c r="M28" s="9"/>
      <c r="N28" s="9"/>
      <c r="O28" s="9"/>
      <c r="P28" s="9"/>
    </row>
    <row r="29" spans="2:16" x14ac:dyDescent="0.3">
      <c r="C29" s="8"/>
      <c r="K29" s="9" t="s">
        <v>8</v>
      </c>
      <c r="L29" s="9">
        <v>50.01</v>
      </c>
      <c r="M29" s="9"/>
      <c r="N29" s="9">
        <v>16.32</v>
      </c>
      <c r="O29" s="9"/>
      <c r="P29" s="9">
        <v>10.5</v>
      </c>
    </row>
    <row r="38" spans="3:18" ht="67.8" customHeight="1" x14ac:dyDescent="0.3">
      <c r="C38" s="55" t="s">
        <v>81</v>
      </c>
      <c r="F38" s="55" t="s">
        <v>82</v>
      </c>
      <c r="R38" s="55" t="s">
        <v>77</v>
      </c>
    </row>
    <row r="39" spans="3:18" x14ac:dyDescent="0.3">
      <c r="R39" s="56"/>
    </row>
    <row r="40" spans="3:18" ht="43.2" x14ac:dyDescent="0.3">
      <c r="C40" s="55" t="s">
        <v>83</v>
      </c>
      <c r="R40" s="55" t="s">
        <v>79</v>
      </c>
    </row>
    <row r="41" spans="3:18" x14ac:dyDescent="0.3">
      <c r="R41" s="56"/>
    </row>
    <row r="42" spans="3:18" ht="43.8" x14ac:dyDescent="0.35">
      <c r="C42" s="48" t="s">
        <v>9</v>
      </c>
      <c r="D42" s="48"/>
      <c r="R42" s="55" t="s">
        <v>80</v>
      </c>
    </row>
    <row r="43" spans="3:18" x14ac:dyDescent="0.3">
      <c r="R43" s="56"/>
    </row>
    <row r="44" spans="3:18" ht="28.8" x14ac:dyDescent="0.3">
      <c r="C44" s="38" t="s">
        <v>10</v>
      </c>
      <c r="D44" s="33" t="s">
        <v>34</v>
      </c>
      <c r="F44" s="32" t="s">
        <v>11</v>
      </c>
      <c r="G44" s="33" t="s">
        <v>34</v>
      </c>
      <c r="R44" s="55" t="s">
        <v>78</v>
      </c>
    </row>
    <row r="45" spans="3:18" x14ac:dyDescent="0.3">
      <c r="C45" s="34" t="s">
        <v>12</v>
      </c>
      <c r="D45" s="39">
        <v>0.32640000000000002</v>
      </c>
      <c r="F45" s="34" t="s">
        <v>19</v>
      </c>
      <c r="G45" s="35" t="s">
        <v>20</v>
      </c>
    </row>
    <row r="46" spans="3:18" x14ac:dyDescent="0.3">
      <c r="C46" s="34" t="s">
        <v>13</v>
      </c>
      <c r="D46" s="39">
        <v>0.21249999999999999</v>
      </c>
      <c r="F46" s="34" t="s">
        <v>21</v>
      </c>
      <c r="G46" s="35" t="s">
        <v>22</v>
      </c>
    </row>
    <row r="47" spans="3:18" x14ac:dyDescent="0.3">
      <c r="C47" s="34" t="s">
        <v>14</v>
      </c>
      <c r="D47" s="39">
        <v>0.4229</v>
      </c>
      <c r="F47" s="34" t="s">
        <v>23</v>
      </c>
      <c r="G47" s="35" t="s">
        <v>24</v>
      </c>
      <c r="P47" s="57" t="s">
        <v>30</v>
      </c>
      <c r="Q47" s="58">
        <v>0.49</v>
      </c>
    </row>
    <row r="48" spans="3:18" x14ac:dyDescent="0.3">
      <c r="C48" s="34" t="s">
        <v>15</v>
      </c>
      <c r="D48" s="39" t="s">
        <v>16</v>
      </c>
      <c r="F48" s="34" t="s">
        <v>25</v>
      </c>
      <c r="G48" s="35" t="s">
        <v>26</v>
      </c>
      <c r="P48" s="57" t="s">
        <v>31</v>
      </c>
      <c r="Q48" s="58">
        <v>0.33</v>
      </c>
    </row>
    <row r="49" spans="3:17" x14ac:dyDescent="0.3">
      <c r="C49" s="36" t="s">
        <v>17</v>
      </c>
      <c r="D49" s="40" t="s">
        <v>18</v>
      </c>
      <c r="F49" s="36" t="s">
        <v>28</v>
      </c>
      <c r="G49" s="37" t="s">
        <v>27</v>
      </c>
      <c r="P49" s="57" t="s">
        <v>32</v>
      </c>
      <c r="Q49" s="58">
        <v>0.01</v>
      </c>
    </row>
    <row r="50" spans="3:17" x14ac:dyDescent="0.3">
      <c r="P50" s="57" t="s">
        <v>33</v>
      </c>
      <c r="Q50" s="58">
        <v>0.17</v>
      </c>
    </row>
    <row r="51" spans="3:17" ht="17.399999999999999" x14ac:dyDescent="0.3">
      <c r="C51" s="12" t="s">
        <v>29</v>
      </c>
    </row>
    <row r="52" spans="3:17" x14ac:dyDescent="0.3">
      <c r="L52" s="13"/>
    </row>
    <row r="69" spans="1:12" x14ac:dyDescent="0.3">
      <c r="D69" s="59" t="s">
        <v>36</v>
      </c>
      <c r="E69" s="59">
        <v>95</v>
      </c>
    </row>
    <row r="70" spans="1:12" x14ac:dyDescent="0.3">
      <c r="D70" s="59" t="s">
        <v>37</v>
      </c>
      <c r="E70" s="59">
        <v>86</v>
      </c>
      <c r="J70" s="14"/>
      <c r="K70" s="14" t="s">
        <v>40</v>
      </c>
      <c r="L70" s="15" t="s">
        <v>41</v>
      </c>
    </row>
    <row r="71" spans="1:12" x14ac:dyDescent="0.3">
      <c r="D71" s="59" t="s">
        <v>38</v>
      </c>
      <c r="E71" s="59">
        <v>98</v>
      </c>
      <c r="J71" s="14" t="s">
        <v>6</v>
      </c>
      <c r="K71" s="16">
        <v>5.7200000000000001E-2</v>
      </c>
      <c r="L71" s="14">
        <v>3.5</v>
      </c>
    </row>
    <row r="72" spans="1:12" x14ac:dyDescent="0.3">
      <c r="D72" s="59" t="s">
        <v>39</v>
      </c>
      <c r="E72" s="59">
        <v>108</v>
      </c>
      <c r="J72" s="14" t="s">
        <v>7</v>
      </c>
      <c r="K72" s="14">
        <v>27.05</v>
      </c>
      <c r="L72" s="14">
        <v>19.43</v>
      </c>
    </row>
    <row r="73" spans="1:12" x14ac:dyDescent="0.3">
      <c r="J73" s="14" t="s">
        <v>8</v>
      </c>
      <c r="K73" s="14">
        <v>32.64</v>
      </c>
      <c r="L73" s="14">
        <v>21.25</v>
      </c>
    </row>
    <row r="74" spans="1:12" x14ac:dyDescent="0.3">
      <c r="A74" s="74" t="s">
        <v>84</v>
      </c>
      <c r="B74" s="75"/>
      <c r="C74" s="75"/>
      <c r="D74" s="75"/>
      <c r="E74" s="75"/>
      <c r="F74" s="75"/>
      <c r="G74" s="75"/>
      <c r="H74" s="75"/>
    </row>
    <row r="75" spans="1:12" ht="16.8" x14ac:dyDescent="0.4">
      <c r="A75" s="74" t="s">
        <v>85</v>
      </c>
      <c r="B75" s="75"/>
      <c r="C75" s="75"/>
      <c r="D75" s="75"/>
      <c r="E75" s="75"/>
      <c r="F75" s="75"/>
      <c r="G75" s="75"/>
      <c r="H75" s="75"/>
    </row>
    <row r="76" spans="1:12" ht="16.8" x14ac:dyDescent="0.4">
      <c r="A76" s="74" t="s">
        <v>86</v>
      </c>
      <c r="B76" s="75"/>
      <c r="C76" s="75"/>
      <c r="D76" s="75"/>
      <c r="E76" s="75"/>
      <c r="F76" s="75"/>
      <c r="G76" s="75"/>
      <c r="H76" s="75"/>
    </row>
    <row r="77" spans="1:12" ht="16.8" x14ac:dyDescent="0.4">
      <c r="A77" s="74" t="s">
        <v>87</v>
      </c>
      <c r="B77" s="75"/>
      <c r="C77" s="75"/>
      <c r="D77" s="75"/>
      <c r="E77" s="75"/>
      <c r="F77" s="75"/>
      <c r="G77" s="75"/>
      <c r="H77" s="75"/>
    </row>
    <row r="79" spans="1:12" x14ac:dyDescent="0.3">
      <c r="H79" s="45" t="s">
        <v>42</v>
      </c>
      <c r="I79" s="46"/>
      <c r="J79" s="47"/>
    </row>
    <row r="81" spans="2:18" x14ac:dyDescent="0.3">
      <c r="B81" s="72" t="s">
        <v>52</v>
      </c>
      <c r="C81" s="73"/>
      <c r="D81" s="17"/>
      <c r="H81" s="49" t="s">
        <v>48</v>
      </c>
      <c r="I81" s="50"/>
      <c r="J81" s="50"/>
      <c r="K81" s="51"/>
      <c r="M81" s="49" t="s">
        <v>47</v>
      </c>
      <c r="N81" s="50"/>
      <c r="O81" s="50"/>
      <c r="P81" s="51"/>
    </row>
    <row r="82" spans="2:18" x14ac:dyDescent="0.3">
      <c r="C82" s="1">
        <v>10</v>
      </c>
      <c r="H82" s="41" t="s">
        <v>6</v>
      </c>
      <c r="I82" s="1" t="s">
        <v>43</v>
      </c>
      <c r="K82" s="42">
        <v>5.7200000000000001E-2</v>
      </c>
      <c r="M82" s="41" t="s">
        <v>6</v>
      </c>
      <c r="N82" s="1" t="s">
        <v>46</v>
      </c>
      <c r="P82" s="42">
        <v>3.5000000000000003E-2</v>
      </c>
    </row>
    <row r="83" spans="2:18" x14ac:dyDescent="0.3">
      <c r="B83" s="14" t="s">
        <v>53</v>
      </c>
      <c r="C83" s="17">
        <v>7</v>
      </c>
      <c r="D83" s="18">
        <v>46213</v>
      </c>
      <c r="H83" s="41" t="s">
        <v>7</v>
      </c>
      <c r="I83" s="1" t="s">
        <v>44</v>
      </c>
      <c r="K83" s="42">
        <v>0.27050000000000002</v>
      </c>
      <c r="M83" s="41" t="s">
        <v>7</v>
      </c>
      <c r="N83" s="1" t="s">
        <v>49</v>
      </c>
      <c r="P83" s="42">
        <v>0.1943</v>
      </c>
    </row>
    <row r="84" spans="2:18" x14ac:dyDescent="0.3">
      <c r="B84" s="17"/>
      <c r="C84" s="17"/>
      <c r="D84" s="17"/>
      <c r="H84" s="33" t="s">
        <v>8</v>
      </c>
      <c r="I84" s="43" t="s">
        <v>45</v>
      </c>
      <c r="J84" s="43"/>
      <c r="K84" s="44">
        <v>0.32640000000000002</v>
      </c>
      <c r="M84" s="33" t="s">
        <v>8</v>
      </c>
      <c r="N84" s="43" t="s">
        <v>50</v>
      </c>
      <c r="O84" s="43"/>
      <c r="P84" s="44">
        <v>0.21249999999999999</v>
      </c>
    </row>
    <row r="85" spans="2:18" x14ac:dyDescent="0.3">
      <c r="B85" s="11" t="s">
        <v>54</v>
      </c>
      <c r="C85" s="17">
        <v>8</v>
      </c>
      <c r="D85" s="19">
        <v>46244</v>
      </c>
    </row>
    <row r="86" spans="2:18" x14ac:dyDescent="0.3">
      <c r="B86" s="17"/>
      <c r="C86" s="17"/>
      <c r="D86" s="17"/>
      <c r="H86" s="5" t="s">
        <v>51</v>
      </c>
      <c r="I86" s="5"/>
      <c r="J86" s="5"/>
      <c r="K86" s="5"/>
      <c r="L86" s="5"/>
      <c r="M86" s="5"/>
      <c r="N86" s="5"/>
      <c r="O86" s="5"/>
      <c r="P86" s="5"/>
      <c r="Q86" s="5"/>
      <c r="R86" s="5"/>
    </row>
    <row r="87" spans="2:18" x14ac:dyDescent="0.3">
      <c r="B87" s="20" t="s">
        <v>55</v>
      </c>
      <c r="C87" s="17">
        <v>5</v>
      </c>
      <c r="D87" s="21">
        <v>46152</v>
      </c>
    </row>
    <row r="88" spans="2:18" x14ac:dyDescent="0.3">
      <c r="B88" s="17"/>
      <c r="C88" s="17"/>
      <c r="D88" s="17"/>
    </row>
    <row r="89" spans="2:18" x14ac:dyDescent="0.3">
      <c r="B89" s="22" t="s">
        <v>56</v>
      </c>
      <c r="C89" s="17">
        <v>4</v>
      </c>
      <c r="D89" s="23">
        <v>46122</v>
      </c>
      <c r="H89" s="79" t="s">
        <v>90</v>
      </c>
      <c r="I89" s="61"/>
      <c r="J89" s="61"/>
      <c r="K89" s="61"/>
      <c r="L89" s="61"/>
      <c r="M89" s="61"/>
      <c r="N89" s="61"/>
      <c r="O89" s="61"/>
      <c r="P89" s="61"/>
      <c r="Q89" s="61"/>
    </row>
    <row r="90" spans="2:18" x14ac:dyDescent="0.3">
      <c r="B90" s="17"/>
      <c r="C90" s="17"/>
      <c r="D90" s="17"/>
      <c r="H90" s="5" t="s">
        <v>92</v>
      </c>
      <c r="I90" s="61"/>
      <c r="J90" s="61"/>
      <c r="K90" s="61"/>
      <c r="L90" s="61"/>
      <c r="M90" s="61"/>
      <c r="N90" s="61"/>
      <c r="O90" s="61"/>
      <c r="P90" s="61"/>
      <c r="Q90" s="61"/>
    </row>
    <row r="91" spans="2:18" x14ac:dyDescent="0.3">
      <c r="B91" s="24" t="s">
        <v>57</v>
      </c>
      <c r="C91" s="17">
        <v>6</v>
      </c>
      <c r="D91" s="25">
        <v>46183</v>
      </c>
      <c r="H91" s="81" t="s">
        <v>91</v>
      </c>
      <c r="I91" s="61"/>
      <c r="J91" s="61"/>
      <c r="K91" s="61"/>
      <c r="L91" s="61"/>
      <c r="M91" s="61"/>
      <c r="N91" s="61"/>
      <c r="O91" s="61"/>
      <c r="P91" s="61"/>
      <c r="Q91" s="61"/>
    </row>
    <row r="92" spans="2:18" x14ac:dyDescent="0.3">
      <c r="B92" s="17"/>
      <c r="C92" s="17"/>
      <c r="D92" s="17"/>
      <c r="H92" s="61" t="s">
        <v>93</v>
      </c>
      <c r="I92" s="61"/>
      <c r="J92" s="61"/>
      <c r="K92" s="61"/>
      <c r="L92" s="61"/>
      <c r="M92" s="61"/>
      <c r="N92" s="61"/>
      <c r="O92" s="61"/>
      <c r="P92" s="61"/>
      <c r="Q92" s="61"/>
    </row>
    <row r="93" spans="2:18" x14ac:dyDescent="0.3">
      <c r="B93" s="26" t="s">
        <v>58</v>
      </c>
      <c r="C93" s="17">
        <v>4</v>
      </c>
      <c r="D93" s="27">
        <v>46122</v>
      </c>
      <c r="H93" s="80" t="s">
        <v>96</v>
      </c>
      <c r="I93" s="61"/>
      <c r="J93" s="61"/>
      <c r="K93" s="61"/>
      <c r="L93" s="61"/>
      <c r="M93" s="61"/>
      <c r="N93" s="61"/>
      <c r="O93" s="61"/>
      <c r="P93" s="61"/>
      <c r="Q93" s="61"/>
    </row>
    <row r="94" spans="2:18" x14ac:dyDescent="0.3">
      <c r="B94" s="17"/>
      <c r="C94" s="17"/>
      <c r="D94" s="17"/>
      <c r="H94" s="82" t="s">
        <v>94</v>
      </c>
      <c r="I94" s="61"/>
      <c r="J94" s="61"/>
      <c r="K94" s="61"/>
      <c r="L94" s="61"/>
      <c r="M94" s="61"/>
      <c r="N94" s="61"/>
      <c r="O94" s="61"/>
      <c r="P94" s="61"/>
      <c r="Q94" s="61"/>
    </row>
    <row r="95" spans="2:18" x14ac:dyDescent="0.3">
      <c r="B95" s="28" t="s">
        <v>59</v>
      </c>
      <c r="C95" s="17">
        <v>6</v>
      </c>
      <c r="D95" s="27">
        <v>46183</v>
      </c>
      <c r="H95" s="61" t="s">
        <v>95</v>
      </c>
      <c r="I95" s="61"/>
      <c r="J95" s="61"/>
      <c r="K95" s="61"/>
      <c r="L95" s="61"/>
      <c r="M95" s="61"/>
      <c r="N95" s="61"/>
      <c r="O95" s="61"/>
      <c r="P95" s="61"/>
      <c r="Q95" s="61"/>
    </row>
    <row r="96" spans="2:18" x14ac:dyDescent="0.3">
      <c r="B96" s="17"/>
      <c r="C96" s="17"/>
      <c r="D96" s="17"/>
    </row>
    <row r="97" spans="2:12" x14ac:dyDescent="0.3">
      <c r="B97" s="29" t="s">
        <v>60</v>
      </c>
      <c r="C97" s="17">
        <v>5.7</v>
      </c>
      <c r="D97" s="30" t="s">
        <v>61</v>
      </c>
    </row>
    <row r="99" spans="2:12" ht="90.6" customHeight="1" x14ac:dyDescent="0.3">
      <c r="C99" s="31" t="s">
        <v>72</v>
      </c>
    </row>
    <row r="103" spans="2:12" ht="14.4" customHeight="1" x14ac:dyDescent="0.3">
      <c r="C103" s="63" t="s">
        <v>62</v>
      </c>
      <c r="D103" s="63"/>
      <c r="E103" s="60"/>
      <c r="F103" s="60"/>
      <c r="G103" s="60"/>
    </row>
    <row r="104" spans="2:12" x14ac:dyDescent="0.3">
      <c r="C104" s="60"/>
      <c r="D104" s="60"/>
      <c r="E104" s="60"/>
      <c r="F104" s="60"/>
      <c r="G104" s="60"/>
    </row>
    <row r="105" spans="2:12" x14ac:dyDescent="0.3">
      <c r="C105" s="60" t="s">
        <v>63</v>
      </c>
      <c r="D105" s="60"/>
      <c r="E105" s="60"/>
      <c r="F105" s="60"/>
      <c r="G105" s="60"/>
    </row>
    <row r="106" spans="2:12" x14ac:dyDescent="0.3">
      <c r="C106" s="60" t="s">
        <v>64</v>
      </c>
      <c r="D106" s="60"/>
      <c r="E106" s="60"/>
      <c r="F106" s="60"/>
      <c r="G106" s="60"/>
    </row>
    <row r="108" spans="2:12" x14ac:dyDescent="0.3">
      <c r="C108" s="64" t="s">
        <v>65</v>
      </c>
      <c r="D108" s="64"/>
      <c r="E108" s="62"/>
      <c r="F108" s="62"/>
      <c r="G108" s="62"/>
      <c r="H108" s="62"/>
      <c r="I108" s="62"/>
      <c r="J108" s="62"/>
      <c r="K108" s="62"/>
      <c r="L108" s="62"/>
    </row>
    <row r="109" spans="2:12" x14ac:dyDescent="0.3">
      <c r="C109" s="62"/>
      <c r="D109" s="62"/>
      <c r="E109" s="62"/>
      <c r="F109" s="62"/>
      <c r="G109" s="62"/>
      <c r="H109" s="62"/>
      <c r="I109" s="62"/>
      <c r="J109" s="62"/>
      <c r="K109" s="62"/>
      <c r="L109" s="62"/>
    </row>
    <row r="110" spans="2:12" x14ac:dyDescent="0.3">
      <c r="C110" s="65" t="s">
        <v>66</v>
      </c>
      <c r="D110" s="65"/>
      <c r="E110" s="65"/>
      <c r="F110" s="65"/>
      <c r="G110" s="65"/>
      <c r="H110" s="65"/>
      <c r="I110" s="65"/>
      <c r="J110" s="65"/>
      <c r="K110" s="65"/>
      <c r="L110" s="65"/>
    </row>
    <row r="111" spans="2:12" x14ac:dyDescent="0.3">
      <c r="C111" s="65" t="s">
        <v>67</v>
      </c>
      <c r="D111" s="65"/>
      <c r="E111" s="65"/>
      <c r="F111" s="65"/>
      <c r="G111" s="65"/>
      <c r="H111" s="65"/>
      <c r="I111" s="65"/>
      <c r="J111" s="65"/>
      <c r="K111" s="65"/>
      <c r="L111" s="65"/>
    </row>
    <row r="112" spans="2:12" x14ac:dyDescent="0.3">
      <c r="C112" s="65" t="s">
        <v>68</v>
      </c>
      <c r="D112" s="65"/>
      <c r="E112" s="65"/>
      <c r="F112" s="65"/>
      <c r="G112" s="65"/>
      <c r="H112" s="65"/>
      <c r="I112" s="65"/>
      <c r="J112" s="65"/>
      <c r="K112" s="65"/>
      <c r="L112" s="65"/>
    </row>
    <row r="114" spans="3:12" x14ac:dyDescent="0.3">
      <c r="C114" s="66" t="s">
        <v>69</v>
      </c>
      <c r="D114" s="66"/>
      <c r="E114" s="67"/>
      <c r="F114" s="67"/>
      <c r="G114" s="67"/>
    </row>
    <row r="115" spans="3:12" x14ac:dyDescent="0.3">
      <c r="C115" s="67"/>
      <c r="D115" s="67"/>
      <c r="E115" s="67"/>
      <c r="F115" s="67"/>
      <c r="G115" s="67"/>
    </row>
    <row r="116" spans="3:12" x14ac:dyDescent="0.3">
      <c r="C116" s="67" t="s">
        <v>70</v>
      </c>
      <c r="D116" s="67"/>
      <c r="E116" s="67"/>
      <c r="F116" s="67"/>
      <c r="G116" s="67"/>
    </row>
    <row r="117" spans="3:12" x14ac:dyDescent="0.3">
      <c r="C117" s="67" t="s">
        <v>71</v>
      </c>
      <c r="D117" s="67"/>
      <c r="E117" s="67"/>
      <c r="F117" s="67"/>
      <c r="G117" s="67"/>
    </row>
    <row r="120" spans="3:12" ht="15" thickBot="1" x14ac:dyDescent="0.35">
      <c r="C120" s="68" t="s">
        <v>73</v>
      </c>
      <c r="D120" s="69"/>
      <c r="E120" s="69"/>
      <c r="F120" s="69"/>
      <c r="G120" s="69"/>
      <c r="H120" s="69"/>
      <c r="I120" s="69"/>
      <c r="J120" s="69"/>
      <c r="K120" s="69"/>
      <c r="L120" s="69"/>
    </row>
    <row r="121" spans="3:12" ht="15" thickTop="1" x14ac:dyDescent="0.3">
      <c r="C121" s="69"/>
      <c r="D121" s="69"/>
      <c r="E121" s="69"/>
      <c r="F121" s="69"/>
      <c r="G121" s="69"/>
      <c r="H121" s="69"/>
      <c r="I121" s="69"/>
      <c r="J121" s="69"/>
      <c r="K121" s="69"/>
      <c r="L121" s="69"/>
    </row>
    <row r="122" spans="3:12" x14ac:dyDescent="0.3">
      <c r="C122" s="69" t="s">
        <v>74</v>
      </c>
      <c r="D122" s="69"/>
      <c r="E122" s="69"/>
      <c r="F122" s="69"/>
      <c r="G122" s="69"/>
      <c r="H122" s="69"/>
      <c r="I122" s="69"/>
      <c r="J122" s="69"/>
      <c r="K122" s="69"/>
      <c r="L122" s="69"/>
    </row>
    <row r="123" spans="3:12" x14ac:dyDescent="0.3">
      <c r="C123" s="69"/>
      <c r="D123" s="69"/>
      <c r="E123" s="69"/>
      <c r="F123" s="69"/>
      <c r="G123" s="69"/>
      <c r="H123" s="69"/>
      <c r="I123" s="69"/>
      <c r="J123" s="69"/>
      <c r="K123" s="69"/>
      <c r="L123" s="69"/>
    </row>
    <row r="124" spans="3:12" x14ac:dyDescent="0.3">
      <c r="C124" s="69" t="s">
        <v>75</v>
      </c>
      <c r="D124" s="69"/>
      <c r="E124" s="69"/>
      <c r="F124" s="69"/>
      <c r="G124" s="69"/>
      <c r="H124" s="69"/>
      <c r="I124" s="69"/>
      <c r="J124" s="69"/>
      <c r="K124" s="69"/>
      <c r="L124" s="69"/>
    </row>
    <row r="125" spans="3:12" x14ac:dyDescent="0.3">
      <c r="C125" s="69" t="s">
        <v>76</v>
      </c>
      <c r="D125" s="69"/>
      <c r="E125" s="69"/>
      <c r="F125" s="69"/>
      <c r="G125" s="69"/>
      <c r="H125" s="69"/>
      <c r="I125" s="69"/>
      <c r="J125" s="69"/>
      <c r="K125" s="69"/>
      <c r="L125" s="69"/>
    </row>
  </sheetData>
  <mergeCells count="13">
    <mergeCell ref="A1:O3"/>
    <mergeCell ref="A4:O5"/>
    <mergeCell ref="A6:O6"/>
    <mergeCell ref="N24:O24"/>
    <mergeCell ref="L24:M24"/>
    <mergeCell ref="E7:F7"/>
    <mergeCell ref="M81:P81"/>
    <mergeCell ref="H81:K81"/>
    <mergeCell ref="C103:D103"/>
    <mergeCell ref="C108:D108"/>
    <mergeCell ref="C114:D114"/>
    <mergeCell ref="C42:D42"/>
    <mergeCell ref="B81:C81"/>
  </mergeCells>
  <conditionalFormatting sqref="C82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{9430570E-25F6-4472-BCEA-8B60C3C65DE1}</x14:id>
        </ext>
      </extLst>
    </cfRule>
  </conditionalFormatting>
  <conditionalFormatting sqref="C82:C9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{DCF468DC-D49E-441C-A81C-71A6F3EB277A}</x14:id>
        </ext>
      </extLst>
    </cfRule>
  </conditionalFormatting>
  <conditionalFormatting sqref="C83:C97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{0FE5F48D-BE38-48E6-B2BB-BFDDE0E824FD}</x14:id>
        </ext>
      </extLst>
    </cfRule>
  </conditionalFormatting>
  <pageMargins left="0.7" right="0.7" top="0.75" bottom="0.75" header="0.3" footer="0.3"/>
  <drawing r:id="rId1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430570E-25F6-4472-BCEA-8B60C3C65D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C82</xm:sqref>
        </x14:conditionalFormatting>
        <x14:conditionalFormatting xmlns:xm="http://schemas.microsoft.com/office/excel/2006/main">
          <x14:cfRule type="dataBar" id="{DCF468DC-D49E-441C-A81C-71A6F3EB27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C82:C97</xm:sqref>
        </x14:conditionalFormatting>
        <x14:conditionalFormatting xmlns:xm="http://schemas.microsoft.com/office/excel/2006/main">
          <x14:cfRule type="dataBar" id="{0FE5F48D-BE38-48E6-B2BB-BFDDE0E824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C83:C97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📊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 Devre</dc:creator>
  <cp:lastModifiedBy>Shweta Devre</cp:lastModifiedBy>
  <dcterms:created xsi:type="dcterms:W3CDTF">2015-06-05T18:17:20Z</dcterms:created>
  <dcterms:modified xsi:type="dcterms:W3CDTF">2026-07-02T11:32:49Z</dcterms:modified>
</cp:coreProperties>
</file>